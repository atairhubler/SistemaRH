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ltelecom-my.sharepoint.com/personal/maria_hubler_agiltelecom_com_br/Documents/Documentos/Recursos Humanos/Planilhas Diversas/"/>
    </mc:Choice>
  </mc:AlternateContent>
  <xr:revisionPtr revIDLastSave="1069" documentId="13_ncr:1_{980684BA-5B4D-4DDE-A70F-4D9E699342CB}" xr6:coauthVersionLast="47" xr6:coauthVersionMax="47" xr10:uidLastSave="{423E7A95-5627-448F-97EE-986BD882A73B}"/>
  <bookViews>
    <workbookView xWindow="-120" yWindow="-120" windowWidth="20730" windowHeight="11040" firstSheet="1" activeTab="1" xr2:uid="{CD5797EF-F2B0-4254-BE96-E48601376F75}"/>
  </bookViews>
  <sheets>
    <sheet name="PJ" sheetId="1" r:id="rId1"/>
    <sheet name="CLT" sheetId="2" r:id="rId2"/>
    <sheet name="ESTAGIÁRIO" sheetId="3" r:id="rId3"/>
    <sheet name="Planilha1" sheetId="4" r:id="rId4"/>
    <sheet name="Planilha2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1" i="2" l="1"/>
  <c r="AA41" i="2"/>
  <c r="AA40" i="2"/>
  <c r="AE40" i="2"/>
  <c r="AA73" i="1"/>
  <c r="AA204" i="1"/>
  <c r="AA37" i="2"/>
  <c r="T38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1" i="2"/>
  <c r="AA22" i="2"/>
  <c r="AA23" i="2"/>
  <c r="AA24" i="2"/>
  <c r="AA25" i="2"/>
  <c r="AA26" i="2"/>
  <c r="AA27" i="2"/>
  <c r="AA28" i="2"/>
  <c r="AA29" i="2"/>
  <c r="AA30" i="2"/>
  <c r="AA31" i="2"/>
  <c r="AA33" i="2"/>
  <c r="AA34" i="2"/>
  <c r="AA35" i="2"/>
  <c r="AA36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72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2" i="1"/>
  <c r="AE7" i="2"/>
  <c r="AE8" i="2"/>
  <c r="AE13" i="2"/>
  <c r="AE15" i="2"/>
  <c r="AE18" i="2"/>
  <c r="AE23" i="2"/>
  <c r="AE24" i="2"/>
  <c r="AE25" i="2"/>
  <c r="AE29" i="2"/>
  <c r="AE30" i="2"/>
  <c r="AE35" i="2"/>
  <c r="AE36" i="2"/>
  <c r="AE37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B33" i="2"/>
  <c r="T33" i="2"/>
  <c r="T26" i="2"/>
  <c r="AE26" i="2" s="1"/>
  <c r="T16" i="2"/>
  <c r="AE16" i="2" s="1"/>
  <c r="T14" i="2"/>
  <c r="T12" i="2"/>
  <c r="AE12" i="2" s="1"/>
  <c r="T9" i="2"/>
  <c r="AE9" i="2" s="1"/>
  <c r="T10" i="2"/>
  <c r="AE10" i="2" s="1"/>
  <c r="T34" i="2"/>
  <c r="AE34" i="2" s="1"/>
  <c r="T31" i="2"/>
  <c r="AE31" i="2" s="1"/>
  <c r="T28" i="2"/>
  <c r="AE28" i="2" s="1"/>
  <c r="T27" i="2"/>
  <c r="AE27" i="2" s="1"/>
  <c r="T22" i="2"/>
  <c r="AE22" i="2" s="1"/>
  <c r="T21" i="2"/>
  <c r="AE21" i="2" s="1"/>
  <c r="T11" i="2"/>
  <c r="AE11" i="2" s="1"/>
  <c r="AA64" i="1"/>
  <c r="C15" i="5"/>
  <c r="C14" i="5"/>
  <c r="C13" i="5"/>
  <c r="C12" i="5"/>
  <c r="C11" i="5"/>
  <c r="C10" i="5"/>
  <c r="C9" i="5"/>
  <c r="C8" i="5"/>
  <c r="C7" i="5"/>
  <c r="C6" i="5"/>
  <c r="U29" i="2"/>
  <c r="AA57" i="1"/>
  <c r="AB14" i="2"/>
  <c r="U168" i="3"/>
  <c r="Y168" i="3" s="1"/>
  <c r="U167" i="3"/>
  <c r="Y167" i="3" s="1"/>
  <c r="U166" i="3"/>
  <c r="Y166" i="3" s="1"/>
  <c r="U165" i="3"/>
  <c r="Y165" i="3" s="1"/>
  <c r="U164" i="3"/>
  <c r="Y164" i="3" s="1"/>
  <c r="U163" i="3"/>
  <c r="Y163" i="3" s="1"/>
  <c r="U162" i="3"/>
  <c r="Y162" i="3" s="1"/>
  <c r="U161" i="3"/>
  <c r="Y161" i="3" s="1"/>
  <c r="U160" i="3"/>
  <c r="Y160" i="3" s="1"/>
  <c r="U159" i="3"/>
  <c r="Y159" i="3" s="1"/>
  <c r="U158" i="3"/>
  <c r="Y158" i="3" s="1"/>
  <c r="U157" i="3"/>
  <c r="Y157" i="3" s="1"/>
  <c r="U156" i="3"/>
  <c r="Y156" i="3" s="1"/>
  <c r="U155" i="3"/>
  <c r="Y155" i="3" s="1"/>
  <c r="U154" i="3"/>
  <c r="Y154" i="3" s="1"/>
  <c r="U153" i="3"/>
  <c r="Y153" i="3" s="1"/>
  <c r="U152" i="3"/>
  <c r="Y152" i="3" s="1"/>
  <c r="U151" i="3"/>
  <c r="Y151" i="3" s="1"/>
  <c r="U150" i="3"/>
  <c r="Y150" i="3" s="1"/>
  <c r="U149" i="3"/>
  <c r="Y149" i="3" s="1"/>
  <c r="U148" i="3"/>
  <c r="Y148" i="3" s="1"/>
  <c r="U147" i="3"/>
  <c r="Y147" i="3" s="1"/>
  <c r="U146" i="3"/>
  <c r="Y146" i="3" s="1"/>
  <c r="U145" i="3"/>
  <c r="Y145" i="3" s="1"/>
  <c r="U144" i="3"/>
  <c r="Y144" i="3" s="1"/>
  <c r="U143" i="3"/>
  <c r="Y143" i="3" s="1"/>
  <c r="U142" i="3"/>
  <c r="Y142" i="3" s="1"/>
  <c r="U141" i="3"/>
  <c r="Y141" i="3" s="1"/>
  <c r="U140" i="3"/>
  <c r="Y140" i="3" s="1"/>
  <c r="U139" i="3"/>
  <c r="Y139" i="3" s="1"/>
  <c r="U138" i="3"/>
  <c r="Y138" i="3" s="1"/>
  <c r="U137" i="3"/>
  <c r="Y137" i="3" s="1"/>
  <c r="U136" i="3"/>
  <c r="Y136" i="3" s="1"/>
  <c r="U135" i="3"/>
  <c r="Y135" i="3" s="1"/>
  <c r="U134" i="3"/>
  <c r="Y134" i="3" s="1"/>
  <c r="U133" i="3"/>
  <c r="Y133" i="3" s="1"/>
  <c r="U132" i="3"/>
  <c r="Y132" i="3" s="1"/>
  <c r="U131" i="3"/>
  <c r="Y131" i="3" s="1"/>
  <c r="U130" i="3"/>
  <c r="Y130" i="3" s="1"/>
  <c r="U129" i="3"/>
  <c r="Y129" i="3" s="1"/>
  <c r="U128" i="3"/>
  <c r="Y128" i="3" s="1"/>
  <c r="U127" i="3"/>
  <c r="Y127" i="3" s="1"/>
  <c r="U126" i="3"/>
  <c r="Y126" i="3" s="1"/>
  <c r="U125" i="3"/>
  <c r="Y125" i="3" s="1"/>
  <c r="U124" i="3"/>
  <c r="Y124" i="3" s="1"/>
  <c r="U123" i="3"/>
  <c r="Y123" i="3" s="1"/>
  <c r="U122" i="3"/>
  <c r="Y122" i="3" s="1"/>
  <c r="U121" i="3"/>
  <c r="Y121" i="3" s="1"/>
  <c r="U120" i="3"/>
  <c r="Y120" i="3" s="1"/>
  <c r="U119" i="3"/>
  <c r="Y119" i="3" s="1"/>
  <c r="U118" i="3"/>
  <c r="Y118" i="3" s="1"/>
  <c r="U117" i="3"/>
  <c r="Y117" i="3" s="1"/>
  <c r="U116" i="3"/>
  <c r="Y116" i="3" s="1"/>
  <c r="Y6" i="3"/>
  <c r="T17" i="2"/>
  <c r="AE17" i="2" s="1"/>
  <c r="T6" i="2"/>
  <c r="AE6" i="2" s="1"/>
  <c r="S20" i="2"/>
  <c r="S32" i="2"/>
  <c r="AA32" i="2" s="1"/>
  <c r="T19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AB19" i="2"/>
  <c r="AA52" i="1"/>
  <c r="AA71" i="1"/>
  <c r="AA70" i="1"/>
  <c r="AA69" i="1"/>
  <c r="AA68" i="1"/>
  <c r="AA67" i="1"/>
  <c r="AA66" i="1"/>
  <c r="AA65" i="1"/>
  <c r="AA63" i="1"/>
  <c r="AA62" i="1"/>
  <c r="AA61" i="1"/>
  <c r="AA60" i="1"/>
  <c r="AA59" i="1"/>
  <c r="AA58" i="1"/>
  <c r="AA56" i="1"/>
  <c r="AA55" i="1"/>
  <c r="AA54" i="1"/>
  <c r="AA53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E33" i="2" l="1"/>
  <c r="AE39" i="2"/>
  <c r="T20" i="2"/>
  <c r="AE20" i="2" s="1"/>
  <c r="AA20" i="2"/>
  <c r="AE19" i="2"/>
  <c r="AE14" i="2"/>
  <c r="T32" i="2"/>
  <c r="AE32" i="2" s="1"/>
  <c r="AA38" i="2"/>
  <c r="AE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Hubler</author>
  </authors>
  <commentList>
    <comment ref="AB5" authorId="0" shapeId="0" xr:uid="{65961944-98E2-41ED-8129-B5A51AE42229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Pagamento por fora da folha
</t>
        </r>
      </text>
    </comment>
    <comment ref="AD9" authorId="0" shapeId="0" xr:uid="{2CB63223-C26B-4B6D-A67D-F3FB925D3485}">
      <text>
        <r>
          <rPr>
            <b/>
            <sz val="9"/>
            <color indexed="81"/>
            <rFont val="Segoe UI"/>
            <family val="2"/>
          </rPr>
          <t xml:space="preserve">Maria Hubler: </t>
        </r>
        <r>
          <rPr>
            <sz val="9"/>
            <color indexed="81"/>
            <rFont val="Segoe UI"/>
            <family val="2"/>
          </rPr>
          <t xml:space="preserve">home office 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AD12" authorId="0" shapeId="0" xr:uid="{EC8483C5-07BD-4961-9D7D-46949BFA6C58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Ajuda de custo home office</t>
        </r>
      </text>
    </comment>
    <comment ref="AD13" authorId="0" shapeId="0" xr:uid="{5B15C577-B02D-4EC0-B9ED-95AD46DD3D56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ajuda de custo
</t>
        </r>
      </text>
    </comment>
    <comment ref="AB14" authorId="0" shapeId="0" xr:uid="{3BA98C98-6FD8-4531-A71C-16AA5EB469DD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Pago todo dia 05 R$ 1000,00 pela AGIL  e 20 300,00 pela AGIL
- Aumento espontâneo junho/2025 R$ 345,88</t>
        </r>
      </text>
    </comment>
    <comment ref="AB19" authorId="0" shapeId="0" xr:uid="{BAAAF6AB-1C40-4ECE-BC59-BEF06EBD85DD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700,00 pago por fora sempre no 5º dia ultil do mês + aumento de R$ 381,40</t>
        </r>
      </text>
    </comment>
    <comment ref="AD19" authorId="0" shapeId="0" xr:uid="{048D3F6C-32C4-4D9D-ACBB-934D62D448B0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ajuda de custo home office
</t>
        </r>
      </text>
    </comment>
    <comment ref="AB33" authorId="0" shapeId="0" xr:uid="{AA3124AC-8219-48D0-AB50-534DE3B23161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Complemento Salarial</t>
        </r>
      </text>
    </comment>
    <comment ref="AD33" authorId="0" shapeId="0" xr:uid="{0550AF96-E718-4CBE-94EB-F0A87039C36A}">
      <text>
        <r>
          <rPr>
            <b/>
            <sz val="9"/>
            <color indexed="81"/>
            <rFont val="Segoe UI"/>
            <family val="2"/>
          </rPr>
          <t>Maria Hubler:</t>
        </r>
        <r>
          <rPr>
            <sz val="9"/>
            <color indexed="81"/>
            <rFont val="Segoe UI"/>
            <family val="2"/>
          </rPr>
          <t xml:space="preserve">
ref. Plano de saúde
Luiza</t>
        </r>
      </text>
    </comment>
  </commentList>
</comments>
</file>

<file path=xl/sharedStrings.xml><?xml version="1.0" encoding="utf-8"?>
<sst xmlns="http://schemas.openxmlformats.org/spreadsheetml/2006/main" count="1674" uniqueCount="847">
  <si>
    <t>CADASTROS PRESTADORES DE SERVIÇOS - PJ</t>
  </si>
  <si>
    <t>Nº</t>
  </si>
  <si>
    <t>NOME</t>
  </si>
  <si>
    <t>Contratante</t>
  </si>
  <si>
    <t>STATUS</t>
  </si>
  <si>
    <t>GÊNERO</t>
  </si>
  <si>
    <t>DATA DE INÍCIO</t>
  </si>
  <si>
    <t>TÉRMINO</t>
  </si>
  <si>
    <t>TELEFONE PESSOAL</t>
  </si>
  <si>
    <t>TELEFONE AGIL</t>
  </si>
  <si>
    <t>RAMAL</t>
  </si>
  <si>
    <t>E-MAIL AGIL</t>
  </si>
  <si>
    <t>E-MAIL</t>
  </si>
  <si>
    <t>RAZÃO SOCIAL</t>
  </si>
  <si>
    <t>CNPJ</t>
  </si>
  <si>
    <t>ENDEREÇO</t>
  </si>
  <si>
    <t>DATA DE NASCIMENTO</t>
  </si>
  <si>
    <t>DADOS BANCÁRIOS</t>
  </si>
  <si>
    <t>VALIDADE DO CONTRATO</t>
  </si>
  <si>
    <t>VALOR DO SERVIÇO CONTRATADO</t>
  </si>
  <si>
    <t>AUMENTOS ESPONTÂNEOS</t>
  </si>
  <si>
    <t>VALOR</t>
  </si>
  <si>
    <t>AUMENTOS ESPONTÂNEOS2</t>
  </si>
  <si>
    <t>VALOR2</t>
  </si>
  <si>
    <t>AUMENTOS ESPONTÂNEO3</t>
  </si>
  <si>
    <t>VALOR3</t>
  </si>
  <si>
    <t>AJUDA DE CUSTO</t>
  </si>
  <si>
    <t>VALOR ATUAL</t>
  </si>
  <si>
    <t>EMISSÃO DE NF</t>
  </si>
  <si>
    <t>DIA DA SOLICITAÇÃO DA NF</t>
  </si>
  <si>
    <t xml:space="preserve">OBS  (Sempre na ultima semana que anteceder o PG, confirmar com o Iago se tem alguém fazendo o suporte para incluir na NF) </t>
  </si>
  <si>
    <t>DEPARTAMENTO</t>
  </si>
  <si>
    <t>TIPO DE SERVIÇO</t>
  </si>
  <si>
    <t>COMISSIONADO (Todos que tiverem comissão verificar com a Michelle)</t>
  </si>
  <si>
    <t>Danielle Perrucci</t>
  </si>
  <si>
    <t>AGIL</t>
  </si>
  <si>
    <t>Desativado</t>
  </si>
  <si>
    <t>FEMININO</t>
  </si>
  <si>
    <t>11 98773-2003</t>
  </si>
  <si>
    <t xml:space="preserve"> 11 4580-106</t>
  </si>
  <si>
    <t>daniperrucci@gmail.com</t>
  </si>
  <si>
    <t>56.702.143DANIELLEPERRUCCI</t>
  </si>
  <si>
    <t>56.702.143/0001-08</t>
  </si>
  <si>
    <t>Rua Coronel Octávio Azeredo 152 casa 06 - cep. 02311-110</t>
  </si>
  <si>
    <t>Inter: Ag: 0001-9 C/c: 38232040-9</t>
  </si>
  <si>
    <t>Indeterminado</t>
  </si>
  <si>
    <t>Sim</t>
  </si>
  <si>
    <t>Comercial</t>
  </si>
  <si>
    <t>Vendas</t>
  </si>
  <si>
    <t>Amanda Martins</t>
  </si>
  <si>
    <t>11 93045-8738</t>
  </si>
  <si>
    <t>11 4580-1062</t>
  </si>
  <si>
    <t>amanda-martins06@outlook.com</t>
  </si>
  <si>
    <t>AMANDA APARECIDA MARTINS BARBOSA 36144481850</t>
  </si>
  <si>
    <t>26.643.078/0001-18</t>
  </si>
  <si>
    <t>Rua coronel Octávio Azeredo 152 casa 9</t>
  </si>
  <si>
    <t>Nubank: Ag: 0001 C/c:52465229-1</t>
  </si>
  <si>
    <t xml:space="preserve">Bruno Giovanni </t>
  </si>
  <si>
    <t>MASCULINO</t>
  </si>
  <si>
    <t>11 943846553</t>
  </si>
  <si>
    <t>11 4580-0536</t>
  </si>
  <si>
    <t>brunogiovanni.as@gmail.com</t>
  </si>
  <si>
    <t>57.063.442 Bruno Giovanni Alves da Silva</t>
  </si>
  <si>
    <t>57.063.442/0001-02</t>
  </si>
  <si>
    <t xml:space="preserve">Rua argemiro Carbonelli número 18 condomínio portal das colinas- Mairiporã </t>
  </si>
  <si>
    <t xml:space="preserve">Santander:Ag: 2991 C/c: 12044034-9 </t>
  </si>
  <si>
    <t>vendas</t>
  </si>
  <si>
    <t>sim</t>
  </si>
  <si>
    <t>Angela Maria Munis da Silva</t>
  </si>
  <si>
    <t>Ativo</t>
  </si>
  <si>
    <t>11 97417-5537</t>
  </si>
  <si>
    <t>angela.munin@agiltelecom.com.br</t>
  </si>
  <si>
    <t>Sempre ver com a Su o valor a ser emitido</t>
  </si>
  <si>
    <t>Financeiro</t>
  </si>
  <si>
    <t>Contas a Pagar</t>
  </si>
  <si>
    <t>Não</t>
  </si>
  <si>
    <t>Eduardo Zicardi</t>
  </si>
  <si>
    <t>11 99362-6794</t>
  </si>
  <si>
    <t>eduardo.ziccardi@agiltelecom.com.br</t>
  </si>
  <si>
    <t>Sempre verificar a razão social para qual emitir</t>
  </si>
  <si>
    <t>Diretioria</t>
  </si>
  <si>
    <t>Vice Presidente</t>
  </si>
  <si>
    <t>Leonardo Pires Anunciado</t>
  </si>
  <si>
    <t>(11) 99151-3867</t>
  </si>
  <si>
    <t>11 995543734</t>
  </si>
  <si>
    <t>leonardo.pires@agiltelecom.com.br</t>
  </si>
  <si>
    <t>Leonardo Pires Anunciado 36774927858</t>
  </si>
  <si>
    <t>42.140.619/0001-41</t>
  </si>
  <si>
    <t>Rua Carlo Carra, 635 - apto 2011</t>
  </si>
  <si>
    <t>Ag: 0001 Conta: 67148563-0 Nubank</t>
  </si>
  <si>
    <t>TI</t>
  </si>
  <si>
    <t>Técnico</t>
  </si>
  <si>
    <t>Pedro Victor Melo Azevedo</t>
  </si>
  <si>
    <t>(11)987465482</t>
  </si>
  <si>
    <t>pedro.melo@agiltelecom.com.br</t>
  </si>
  <si>
    <t>victor.meloaze@gmail.com - pedrovct.aze@outlook.com</t>
  </si>
  <si>
    <t>PEDRO VICTOR MELO AZEVEDO 38699511841</t>
  </si>
  <si>
    <t>39.820.016/0001-86</t>
  </si>
  <si>
    <t>Rua Luis Grassmann, 664 CEP: 05801-050</t>
  </si>
  <si>
    <t>Inter Ag:0001 C/c: 98792725</t>
  </si>
  <si>
    <t>12 e 27 VT</t>
  </si>
  <si>
    <t>Precisa ver se ele teve plantão e somar o VT NF de vt no final do mês</t>
  </si>
  <si>
    <t>Rogério Galvão</t>
  </si>
  <si>
    <t>ROGERIO GALVÃO DA COSTA</t>
  </si>
  <si>
    <t>08.973.744.0001-02</t>
  </si>
  <si>
    <t>Rua Voluntários da Pátria</t>
  </si>
  <si>
    <t>Pix: 08.973.744/0001-02</t>
  </si>
  <si>
    <t>Não precisa cobrar NF</t>
  </si>
  <si>
    <t>Thiago Souza</t>
  </si>
  <si>
    <t>AGT</t>
  </si>
  <si>
    <t>11 97842-0514</t>
  </si>
  <si>
    <t>thiago.souza@agiltelecom.com.br</t>
  </si>
  <si>
    <t>Thais_s_8@hotmail.com</t>
  </si>
  <si>
    <t>IPOWER SOLUÇÕES TECNOLOGICAS EIRELI</t>
  </si>
  <si>
    <t>12.255.237/0001-00</t>
  </si>
  <si>
    <t>AV. Leoncio de Magalhães 01004, CJ 95, Jardim São Paulo - CEP: 02042-001</t>
  </si>
  <si>
    <t>PIX: 12255237000100</t>
  </si>
  <si>
    <t>5 e 15</t>
  </si>
  <si>
    <t>Precisa ver se tem plantão/ sempre verificar com a Angela - todo dia 15 receberá R$ 3.200,00 e no quinto dia útil R$ 10.800,00 devido ao desconto de empréstimo</t>
  </si>
  <si>
    <t>Anderson Mauro Polsaque</t>
  </si>
  <si>
    <t xml:space="preserve">11913200297
</t>
  </si>
  <si>
    <t>anderson.polsaque@agiltelecom.com.br</t>
  </si>
  <si>
    <t>Anderson.pereira@agiltelecom.com.br</t>
  </si>
  <si>
    <t>24.452.917 ANDERSON MAURO POLSAQUE</t>
  </si>
  <si>
    <t>24.452.917/0001-95</t>
  </si>
  <si>
    <t>Camila Zicardi</t>
  </si>
  <si>
    <t>11 983114187</t>
  </si>
  <si>
    <t>camila.ziccardi@agiltelecom.com.br</t>
  </si>
  <si>
    <t>Backoffice</t>
  </si>
  <si>
    <t>Diego Santos</t>
  </si>
  <si>
    <t>1194747-8283</t>
  </si>
  <si>
    <t>diego.santos@agiltelecom.com.br</t>
  </si>
  <si>
    <t>Diego.santos@agiltelecom.com.br</t>
  </si>
  <si>
    <t>Diego dos Santos</t>
  </si>
  <si>
    <t>36.316.865/0001-09</t>
  </si>
  <si>
    <t>Endereço Rua Paulo do Vale Junior 75</t>
  </si>
  <si>
    <t>Ag 2008 / Cc 01028238-0 Santander</t>
  </si>
  <si>
    <t>5</t>
  </si>
  <si>
    <t>Contas e receber</t>
  </si>
  <si>
    <t>Iago Sarrea</t>
  </si>
  <si>
    <t>11 960618003</t>
  </si>
  <si>
    <t>11 942294631</t>
  </si>
  <si>
    <t>iago.sarrea@agiltelecom.com.br</t>
  </si>
  <si>
    <t>iago.sarrea@gmail.com</t>
  </si>
  <si>
    <t>IAGO SARREA 32091266825</t>
  </si>
  <si>
    <t>40.011.557/0001-42</t>
  </si>
  <si>
    <t>Rua Dona Francisca, 5130 bl 6 apt 501</t>
  </si>
  <si>
    <t>Itau: Ag:1446 Cc/c:0035536-2</t>
  </si>
  <si>
    <t>A NF é emitida no valor de R$ 6.500,00 sempre confirmar com a Su.</t>
  </si>
  <si>
    <t>Mauricio Eloi</t>
  </si>
  <si>
    <t>mauricio.eloi@agiltelecom.com.br</t>
  </si>
  <si>
    <t>M.Eloi Servicos de Telefonia e Informatica</t>
  </si>
  <si>
    <t>17.550.420/0001-44</t>
  </si>
  <si>
    <t>Estrada do Elenco, 835 - Bloco 18 - Apto 31 - Guarulhos -SP</t>
  </si>
  <si>
    <t>Ag 0001/C/c 23224125 / PIX: selereconsultoria@gmail.com / Nubank</t>
  </si>
  <si>
    <t>Anderson Rodrigo Pereira</t>
  </si>
  <si>
    <t>anderson.pereira@agiltelecom.com.br</t>
  </si>
  <si>
    <t xml:space="preserve"> ANDERSONRODRIGOPEREIRA27949103884</t>
  </si>
  <si>
    <t>46.602.864/0001-84</t>
  </si>
  <si>
    <t>CLOVISSALGADO,55,JARDIMDASPEDRAS,  SãoPaulo-SP - CEP:  2367000</t>
  </si>
  <si>
    <t>Agência 0001 / C/C 25106072-4 Nubank</t>
  </si>
  <si>
    <t>Precisa ver se teve plantão</t>
  </si>
  <si>
    <t>Luis Marcelo de Luna Pallone Junior</t>
  </si>
  <si>
    <t>Andre Silva de Almeida</t>
  </si>
  <si>
    <t xml:space="preserve">andre.almeida@agiltelecom.com.br
</t>
  </si>
  <si>
    <t xml:space="preserve"> Andre Silva de Almeida</t>
  </si>
  <si>
    <t>56.032.409/0001-44</t>
  </si>
  <si>
    <t>Rua Elisio de Carvalho, 151 (Vila São Luis)</t>
  </si>
  <si>
    <t>ag: 0001 | c/c: 708103761-5</t>
  </si>
  <si>
    <t>Somar o VT NF  de vt só no final do mês</t>
  </si>
  <si>
    <t>Juliana Satie Kawae</t>
  </si>
  <si>
    <t>11 992125487</t>
  </si>
  <si>
    <t>11 45801063</t>
  </si>
  <si>
    <t>juliana.kawae@agiltelecom.com.br</t>
  </si>
  <si>
    <t>julisatie@gmail.com</t>
  </si>
  <si>
    <t>55.018.225/0001-67</t>
  </si>
  <si>
    <t>rua José Justino Pereira 280</t>
  </si>
  <si>
    <t>Inter: Ag:0001 C/C: 35966149-1</t>
  </si>
  <si>
    <t>Everson Possati</t>
  </si>
  <si>
    <t>AGL</t>
  </si>
  <si>
    <t>11 92018-1579</t>
  </si>
  <si>
    <t>everson.possati@agiltelecom.com.br</t>
  </si>
  <si>
    <t>Diretor</t>
  </si>
  <si>
    <t>Michelle Lopes Rodrigues</t>
  </si>
  <si>
    <t>11 97676-0392</t>
  </si>
  <si>
    <t>michelle.rodrigues@agiltelecom.com.br</t>
  </si>
  <si>
    <t>Solange Baccas Rosa</t>
  </si>
  <si>
    <t>11 96979-9377</t>
  </si>
  <si>
    <t>solangebaccasamora@gmail.com</t>
  </si>
  <si>
    <t>Não Possui</t>
  </si>
  <si>
    <t>rua dos Trilhos 909, Edifício 3,apt 13..</t>
  </si>
  <si>
    <t>somente PF ( Ag: 0001 C/c: 23509587-7 - Inter)</t>
  </si>
  <si>
    <t>Maria de Jesus Alves</t>
  </si>
  <si>
    <t>11 96963-2166</t>
  </si>
  <si>
    <t>Merce Rozendo</t>
  </si>
  <si>
    <t>11 98290-4593</t>
  </si>
  <si>
    <t>Eduardo Arcas da Cruz</t>
  </si>
  <si>
    <t>Eduardoarcas72@gmail.com</t>
  </si>
  <si>
    <t>54.720.916 EDUARDO ARCAS DA CRUZ</t>
  </si>
  <si>
    <t>54.720.916/0001-45</t>
  </si>
  <si>
    <t>Rua Cambembé 91, Cidade Mãe do Céu - São Paulo, SP - 03332-020</t>
  </si>
  <si>
    <t>Ag: 0001 C/c: 59956474-7  Pag Seguro</t>
  </si>
  <si>
    <t>Emitir boleto</t>
  </si>
  <si>
    <t>Vendedor Junior</t>
  </si>
  <si>
    <t>Reinaldo Teixeira de Carvalho</t>
  </si>
  <si>
    <t>carvalhotr1963@gmail.com</t>
  </si>
  <si>
    <t>REINALDO TEIXEIRA DE CARVALHO INFORMATICA</t>
  </si>
  <si>
    <t>13.496.775/0001-41</t>
  </si>
  <si>
    <t>Rua Dr. Gabriel Resende Filho, 96 – Santana (ZN)- São Paulo - SP - CEP: 02462-090</t>
  </si>
  <si>
    <t xml:space="preserve">Nubank:  Agência: 0001/Conta: 93333570-5
</t>
  </si>
  <si>
    <t>Vendedor Pleno</t>
  </si>
  <si>
    <t>Mauricio D Avila de Carvalho</t>
  </si>
  <si>
    <t>1199834-1422</t>
  </si>
  <si>
    <t>mauricio.davila@agiltelecom.com.br</t>
  </si>
  <si>
    <t>mauriciodvl@gmail.com</t>
  </si>
  <si>
    <t>57.598.433 MAURICIO D AVILA DE CARVALHO</t>
  </si>
  <si>
    <t>57.598.433/0001-08</t>
  </si>
  <si>
    <t>R Alexandre Levi 10, Cambuci, São Paulo – SP - CEP: 01520-000</t>
  </si>
  <si>
    <t>Santander: Ag: 2991 / C/c: 12057771-1</t>
  </si>
  <si>
    <t>Vendedor Sênior</t>
  </si>
  <si>
    <t>Lydiane Alves do Nascimento</t>
  </si>
  <si>
    <t>11 97370-1656</t>
  </si>
  <si>
    <t>Lydianealves@hotmail.com</t>
  </si>
  <si>
    <t>LYDIANE ALVES DO NASCIMENTO 32464234826</t>
  </si>
  <si>
    <t>32.766.654/0001-17</t>
  </si>
  <si>
    <t>Rua São Romualdo, 225, Vila Barbosa, São Paulo/SP</t>
  </si>
  <si>
    <t>Inter - Agência: 0001 / Conta: 40016354-3</t>
  </si>
  <si>
    <t>Evelyn Moraes</t>
  </si>
  <si>
    <t>11 97171-5932</t>
  </si>
  <si>
    <t>evelyn.moraes@agiltelecom.com.br</t>
  </si>
  <si>
    <t>evelyn.moraes1210@gmail.com</t>
  </si>
  <si>
    <t>57.018.238 EVELYN MORAES</t>
  </si>
  <si>
    <t>57.018.238/0001-61</t>
  </si>
  <si>
    <t>R GAL SOUZA TRIGO 75 CS 2 - PARQUE ITABERABA CEP: 02764-090 - SAO PAULO/SP</t>
  </si>
  <si>
    <t>Santander: Ag:2991 C/c: 120821302</t>
  </si>
  <si>
    <t>Guilherme Fernandes Dantas</t>
  </si>
  <si>
    <t>11 97054-8885</t>
  </si>
  <si>
    <t>guilherme.dantas@agiltelecom.com.br</t>
  </si>
  <si>
    <t>guilherme.fd@hotmail.com</t>
  </si>
  <si>
    <t>58.487.112 GUILHERME FERNANDES DANTAS</t>
  </si>
  <si>
    <t>58.487.112/0001-07</t>
  </si>
  <si>
    <t>RUA JOSE DE BRITO FERREIRA 17, JARDIM DAS VERTENTES SAO PAULO SP, CEP: 05541-270</t>
  </si>
  <si>
    <t>Santander: Ag: 2990 C/c:  000140615496</t>
  </si>
  <si>
    <t>Para o próximo dia 15/03 deswcontar R$ 800,00</t>
  </si>
  <si>
    <t>Leonardo Martins</t>
  </si>
  <si>
    <t>11 93203-4949</t>
  </si>
  <si>
    <t>leonardo.martins@agiltelecom.com.br</t>
  </si>
  <si>
    <t xml:space="preserve"> 60.669.396 LEONARDO MARTINS</t>
  </si>
  <si>
    <t>60.669.396/0001-96</t>
  </si>
  <si>
    <t>R. RENZO BALDINI 590, CEP: 08248000</t>
  </si>
  <si>
    <t xml:space="preserve">Chave pix: 60.669.396/0001-96  (Nubank) </t>
  </si>
  <si>
    <t>Analista de Dados</t>
  </si>
  <si>
    <t>Marcos Rogerio Freitas de Oliveira</t>
  </si>
  <si>
    <t>11 97157-9296</t>
  </si>
  <si>
    <t>Marcosrogerio@agiltelecom.com.br</t>
  </si>
  <si>
    <t>marcosrogerio520@hotmail.com</t>
  </si>
  <si>
    <t>Marcos Rogerio Freitas de Oliveira ltda</t>
  </si>
  <si>
    <t>47.181.594/0001-48</t>
  </si>
  <si>
    <t xml:space="preserve">CORCOVADO 134 BL 61 AP 1 NA TERREO PARQUE RESIDENCIAL DA LAPA CEP: 05038-040 – SÃO PAULO/SP  </t>
  </si>
  <si>
    <t xml:space="preserve">Banco BS2, Ag 0001, C/C – 1091915-5
</t>
  </si>
  <si>
    <t>Patricia de Oliveira Canavezi</t>
  </si>
  <si>
    <t>11 97021-6539</t>
  </si>
  <si>
    <t>patriciacanavezi_som@hotmail.com</t>
  </si>
  <si>
    <t>54988537 PATRICIA DE OLIVEIRA CANAVEZI</t>
  </si>
  <si>
    <t>54.988.537/0001-30</t>
  </si>
  <si>
    <t>R DO CAFÉ, 41, JD HEBROM, CEP: 02329-150, SÃO PAULO/SP</t>
  </si>
  <si>
    <t>Santander: Ag: 2990, C/c: 140738999</t>
  </si>
  <si>
    <t>Antonio José Santana Silva</t>
  </si>
  <si>
    <t>75 9141-3299</t>
  </si>
  <si>
    <t>antoniosantana.elonet@gmail.com</t>
  </si>
  <si>
    <t xml:space="preserve"> 53.982.143 ANTONIO JOSE SANTANA SILVA</t>
  </si>
  <si>
    <t>53.982.143/0001-02</t>
  </si>
  <si>
    <t>R RUA DA MANGABEIRA, 239, MANGABEIRA, IRARA/BA – CEP: 44.255-000</t>
  </si>
  <si>
    <t xml:space="preserve">Banco Cooperativo Sicredi S.A. Ag: 0903 C/C: 62660-4
</t>
  </si>
  <si>
    <t>Desenvolvedor Jr.</t>
  </si>
  <si>
    <t>Marcelo Ferreira Braga</t>
  </si>
  <si>
    <t>11 99346-6871</t>
  </si>
  <si>
    <t>11 4580-1041</t>
  </si>
  <si>
    <t>marcelo.ferreira@agiltelecom.com.br</t>
  </si>
  <si>
    <t>matigela@gmail.com</t>
  </si>
  <si>
    <t>Rua Jose Justino Pereira, 280 Agua Fria, São Paulo, SP - CEP: 02407-140</t>
  </si>
  <si>
    <t>INTER - 077 - 59.801.882 MARCELO FERREIRA BRAGA CNPJ: 59.801.882/0001-37, Agência: 0001, Conta: 43200810-1 - PIX: matigela@gmail.com</t>
  </si>
  <si>
    <t>A NF  SEMPRE SERÁ EMITIDA NO LIMITE DA MEI E A DIFERENÇA SERÁ PAGA DE OUTRA FORMA.</t>
  </si>
  <si>
    <t>Consultor NOC</t>
  </si>
  <si>
    <t>Marcio Clayton de Sousa</t>
  </si>
  <si>
    <t>11 95287-7171</t>
  </si>
  <si>
    <t>Marcioclayton34@gmail.com</t>
  </si>
  <si>
    <t>Marcio Clayton de Sousa 14891474890</t>
  </si>
  <si>
    <t>40.588.841/0001-86</t>
  </si>
  <si>
    <t xml:space="preserve"> R JOAO BASTOS 4  CS 2 - JARDIM BRASILIA CEP: 05845-300 - SAO PAULO/SP</t>
  </si>
  <si>
    <t>Agência: 2991 Conta Corrente: 140186944 Santander PJ</t>
  </si>
  <si>
    <t>Cesar Silva de Andrade</t>
  </si>
  <si>
    <t>11 98342-5625</t>
  </si>
  <si>
    <t>cesar.s.andrad@gmail.com</t>
  </si>
  <si>
    <t xml:space="preserve"> 59.822.276 CESAR SILVA DE ANDRADE</t>
  </si>
  <si>
    <t xml:space="preserve"> 59.822.276/0001-06</t>
  </si>
  <si>
    <t xml:space="preserve">AV ALBERTO AUGUSTO ALVES 270  AP 64 TOR A - VILA ANDRADE  CEP: 05724-030 - SAO PAULO/SP </t>
  </si>
  <si>
    <t>Banco Santander Agência: 2990 Conta: 14095572-3</t>
  </si>
  <si>
    <t>Orlando Valerio Rodrigues Salles</t>
  </si>
  <si>
    <t>11 92008-2844</t>
  </si>
  <si>
    <t>orlandovrsalles@yahoo.com.br</t>
  </si>
  <si>
    <t>ANGV  Tecnologia Projetos Soluções e Serviços S/S LTDA</t>
  </si>
  <si>
    <t>08.594.568/0001-90</t>
  </si>
  <si>
    <t>Rua Capitão Raymundo Barros Nascimento, Qitaúna, Osaco, SP, CEP: 06192-060</t>
  </si>
  <si>
    <t>BANCO ITAÚ,  AGENCIA:- 1577 C/C 98973-2 , ANGV TECNOLOGIA, PIX É O CNPJ:- 08594568000190</t>
  </si>
  <si>
    <t>Anderson Rodrigues Batista</t>
  </si>
  <si>
    <t>47 8851-9167</t>
  </si>
  <si>
    <t>andersonbless@hotmail.com</t>
  </si>
  <si>
    <t>Rua Canoas, 908, Jardim Iririú, Joinville SC - CEP: 89.224-321</t>
  </si>
  <si>
    <t>NubaNk Ag: 0001 C/C: 743561519-1   PIX CNPJ: 59801396000119</t>
  </si>
  <si>
    <t>Suporte SMS</t>
  </si>
  <si>
    <t>Gabriel Batista Alves</t>
  </si>
  <si>
    <t>Luciana de Conti</t>
  </si>
  <si>
    <t>11 99112-5918  </t>
  </si>
  <si>
    <t>Ldconti@hotmail.com</t>
  </si>
  <si>
    <t>60.482.897 LUCIANA DE CONTI</t>
  </si>
  <si>
    <t>60.482.897/0001-69</t>
  </si>
  <si>
    <t>Rua Jacarapinima, 140, Parque Mandaqui, CEP: 02415-010 – São Paulo /SP</t>
  </si>
  <si>
    <t>Em processo de abertura</t>
  </si>
  <si>
    <t>vendedora Plena</t>
  </si>
  <si>
    <t>Yuri Seixas Bessa</t>
  </si>
  <si>
    <t>YURISEIXASBESSA@GMAIL.COM</t>
  </si>
  <si>
    <t xml:space="preserve"> 60.529.244 YURI SEIXAS BESSA</t>
  </si>
  <si>
    <t xml:space="preserve"> 60.529.244/0001-98</t>
  </si>
  <si>
    <t>R CONDE D'EU, 243, VILA NOVA, BLUMENAU, CEP: 89.035-320</t>
  </si>
  <si>
    <t>Itau: Agência 1557 / Conta Corrente 91258-9</t>
  </si>
  <si>
    <t>Leandro Rocco Nakamura</t>
  </si>
  <si>
    <t>11 94806-1225</t>
  </si>
  <si>
    <t>Leandrorocconakamura@hotmail.com</t>
  </si>
  <si>
    <t xml:space="preserve"> 60.537.953 LEANDRO ROCCO NAKAMURA</t>
  </si>
  <si>
    <t>60.537.953/0001-15</t>
  </si>
  <si>
    <t>Rua Carneiro da Cunha, 393, Vila da Saúde, cep: 04144-001 São Paulo - SP</t>
  </si>
  <si>
    <t>Nubamk: 0260 / Ag: 0001 / C/c: 146283613-4 / PIX: CNPJ 60.547.953/0001-15</t>
  </si>
  <si>
    <t>Felipe Francisco</t>
  </si>
  <si>
    <t>15 98128-5157</t>
  </si>
  <si>
    <t>felipefrancisco.tecnologia@gmail.com</t>
  </si>
  <si>
    <t xml:space="preserve">FELIPE FRANCISCO - REPRESENTACOES COMERCIAIS </t>
  </si>
  <si>
    <t>30.296.486/0001-18</t>
  </si>
  <si>
    <t xml:space="preserve"> R STA CRUZ, 00140 APT 1, VILA SANTA ISABEL, 18136-025   SAO ROQUE  SP</t>
  </si>
  <si>
    <t xml:space="preserve">Zepelin Telecom Representações Comerciais / CNPJ: 30.296.486/0001-18 / Banco: 336 - Banco C6 S.A. / Agência: 0001 / Conta Corrente: 31127044-1 / Chave Pix: felipefrancisco.tecnologia@gmail.com </t>
  </si>
  <si>
    <t>SIM</t>
  </si>
  <si>
    <t>Jacqueline dos Santos Lima</t>
  </si>
  <si>
    <t>11 91149-3919</t>
  </si>
  <si>
    <t xml:space="preserve">Jacquelineslima98@gmail.com </t>
  </si>
  <si>
    <t xml:space="preserve"> 37.982.439 JACQUELINE DOS SANTOS LIMA</t>
  </si>
  <si>
    <t>37.982.439/0001-77</t>
  </si>
  <si>
    <t>Rua Brás Lourenço, 376, 203 - Vila Mariana, São Paulo - SP, CEP: 04113110</t>
  </si>
  <si>
    <t>Nubank Ag: 0001 C/C: 39605648-3   PIX CNPJ: 37.982.439/0001-77</t>
  </si>
  <si>
    <t xml:space="preserve">VENDEDOR </t>
  </si>
  <si>
    <t>Marcela Ferreira Silva de Campo</t>
  </si>
  <si>
    <t>16 98110-9092</t>
  </si>
  <si>
    <t>marcela.campos@agiltelecom.com.br</t>
  </si>
  <si>
    <t>mahs2ro@gmail.com</t>
  </si>
  <si>
    <t>60.972.287 MARCELA FERREIRA SILVA DE CAMPOS</t>
  </si>
  <si>
    <t>60.972.287/0001-43</t>
  </si>
  <si>
    <t>Av. Santa Ines, 1129, Apt 51, Bloco A, Pq. Mandaqui, CEP: 02415-001, SÃO PAULO/SP</t>
  </si>
  <si>
    <t>Santander: Ag: 0779 / Cc: 01009129-5</t>
  </si>
  <si>
    <t>Aline Costa</t>
  </si>
  <si>
    <t>11 96722-3611</t>
  </si>
  <si>
    <t>aline.costa@agiltelecom.com.br</t>
  </si>
  <si>
    <t>licostta@live.com</t>
  </si>
  <si>
    <t>34.094.769 ALINE COSTA</t>
  </si>
  <si>
    <t>34.094.769/0001-38</t>
  </si>
  <si>
    <t>AV CORONEL SEZEFREDO FAGUNDES, 665, TUCURUVI, SÃO PAULO/SP</t>
  </si>
  <si>
    <t>Inter: Ag 0001 C/c: 0450451461 / PIX: CNPJ: 34.094.769*/0001-38</t>
  </si>
  <si>
    <t>Adriana Maria da Silva</t>
  </si>
  <si>
    <t>11 95137-3199</t>
  </si>
  <si>
    <t>adrijhr02@gmail.com</t>
  </si>
  <si>
    <t>JHR CORRETORA E CONSULTORIA DE PLANOS DE SAUDE LTDA</t>
  </si>
  <si>
    <t xml:space="preserve"> 22.395.051/0001-00</t>
  </si>
  <si>
    <t>Rua Borges 1038 Ap: 122 Parada Inglesa, São Paulo / SP CEP: 02247-000</t>
  </si>
  <si>
    <t>INTER - 077 / ADRIANA MARIA DA SILVA 13285753811 / CNPJ: 22.395.051/0001-00  / Agência: 0001
Conta: 6374509-7</t>
  </si>
  <si>
    <t>Deolinda Martins Pinheiro</t>
  </si>
  <si>
    <t>11 94173-2777</t>
  </si>
  <si>
    <t>deolindapinheiro@hotmail.com</t>
  </si>
  <si>
    <t>51.550.654 DEOLINDA MARTINS PINHEIRO</t>
  </si>
  <si>
    <t>51.550.654/0001-20</t>
  </si>
  <si>
    <t>R JOAQUIM NORBERTO 71 VILA PAULICEIA 02301-100 S PAULO - SP</t>
  </si>
  <si>
    <t>Santander: Ag 2991 C/c: 140484840 Pix:  51.550.654/0001-20</t>
  </si>
  <si>
    <t>Felipe Araújo Ferreira</t>
  </si>
  <si>
    <t>11 97748-3125</t>
  </si>
  <si>
    <t>felipework837@gmail.com</t>
  </si>
  <si>
    <t>54.184.193 FELIPE ARAUJO FERREIRA</t>
  </si>
  <si>
    <t>54.184.193/0001-07</t>
  </si>
  <si>
    <t>R ANTONIO DOS SANTOS NETO 114 CARANDIRU 02028-020 S PAULO - SP</t>
  </si>
  <si>
    <t>Santander: Ag 2990 C/c: 1502870001 / PIX: 54.184.193/001-07</t>
  </si>
  <si>
    <t>VENDEDOR</t>
  </si>
  <si>
    <t>Felipe Reis Brito</t>
  </si>
  <si>
    <t>11 99242-3239</t>
  </si>
  <si>
    <t>Fb221815@gmail.com</t>
  </si>
  <si>
    <t>FELIPE REIS BRITO</t>
  </si>
  <si>
    <t>30.290.645/0001-77</t>
  </si>
  <si>
    <t>R CORREIA DE AS 300 VILA PALMEIRAS CEP: 02725-060 SÃO PAULO</t>
  </si>
  <si>
    <t xml:space="preserve"> C6 S.A.  Agência: 0001 C/c: 32748112-9 / Pix: (11) 93498-3945</t>
  </si>
  <si>
    <t>Ricardo Elias Marcelino</t>
  </si>
  <si>
    <t>11 94511-1410</t>
  </si>
  <si>
    <t>contato.ricardoelias@gmail.com</t>
  </si>
  <si>
    <t xml:space="preserve"> DO TETO AO CHAO DECORACOES LTDA</t>
  </si>
  <si>
    <t>29.621.210/0001-89</t>
  </si>
  <si>
    <t xml:space="preserve"> INTER - 077, Agência: 0001, Conta: 6293113-0, PIX: CNPJ: 29.621.210/0001-89</t>
  </si>
  <si>
    <t>Geraldo Gomes Diniz JUNIOR</t>
  </si>
  <si>
    <t>11 97192-4451</t>
  </si>
  <si>
    <t>geraldodinizjr@gmail.com</t>
  </si>
  <si>
    <t>GERALDO GOMES DINIZ JUNIOR 04832614835</t>
  </si>
  <si>
    <t xml:space="preserve"> 34.456.215/0001-33</t>
  </si>
  <si>
    <t>Rua José Julio  Burgain, 177 - Jardim Angela Zona Leste  / São Paulo SP  / CEP: 03985-090</t>
  </si>
  <si>
    <t>Banco Bradesco / Ag.: 00099 C/c.: 0000000018063-7</t>
  </si>
  <si>
    <t>Amanda Regina Moura de Carvalho</t>
  </si>
  <si>
    <t>11 94794-7103</t>
  </si>
  <si>
    <t>Amandareginamoura@gmail.com</t>
  </si>
  <si>
    <t>60.731.735 AMANDA REGINA MOURA DE CARVALHO</t>
  </si>
  <si>
    <t xml:space="preserve"> 60.731.735/0001-17</t>
  </si>
  <si>
    <t>Rua Diva, 400 Apto 08, Parque Santo Antonio, Guarulhos, SP / CEP: 07062-040</t>
  </si>
  <si>
    <t>Banco Nubenk / Ag.: 0001 C/c.: 621401428-2 / PIX: 60.731.735/0001-17</t>
  </si>
  <si>
    <t>Rafael  Gaboni de Aguiar e Silva</t>
  </si>
  <si>
    <t>11 93474-7255</t>
  </si>
  <si>
    <t>rafael.gaboni@gmail.com</t>
  </si>
  <si>
    <t>62.734.644 RAFAEL GABONI DE AGUIAR E SILVA</t>
  </si>
  <si>
    <t>62.734.644/0001-60</t>
  </si>
  <si>
    <t>Av.  Maria Ribeiro de Jesus, 207, Vila Santos, São Paulo / SP - CEP: 02637-000</t>
  </si>
  <si>
    <t>Conta: 48626532-3 / Ag: 0001 / Banco: 077 (Inter) Chave pix: 62734644000160</t>
  </si>
  <si>
    <t>vendedor pleno</t>
  </si>
  <si>
    <t>Danilo Boleli  Daverca</t>
  </si>
  <si>
    <t>11 98699-4386</t>
  </si>
  <si>
    <t>danilopvp@gmail.com</t>
  </si>
  <si>
    <t>63.123.110 DANILO BOLELI DAVERCA</t>
  </si>
  <si>
    <t>63.123.110/0001-60</t>
  </si>
  <si>
    <t xml:space="preserve">Rua Zélia Ramos da Costa, 99, 17 - Vila Nova Manchester, São Paulo - SP, CEP: 03440-020 </t>
  </si>
  <si>
    <t>Banco: Nu Pagamentos (0260) / Agência: 0001 / Conta: 449549474-4 / PIX CNPJ: 63.123.110/0001-60</t>
  </si>
  <si>
    <t>Atendente e Suporte Técnico</t>
  </si>
  <si>
    <t>Daniela Vaz de Siuza Santos</t>
  </si>
  <si>
    <t>11 97236-3977</t>
  </si>
  <si>
    <t>danielavaza4@gmail.com</t>
  </si>
  <si>
    <t>DANIELA SANTINI COMERCIO DE ROUPAS LTDA</t>
  </si>
  <si>
    <t>04.617.912/0001-68</t>
  </si>
  <si>
    <t>AV CANGAIBA 2339 - CANGAIBA / CEP: 03711-006 - SAO PAULO - SP</t>
  </si>
  <si>
    <t>Banco Cora: Pix 63560939/0001-20</t>
  </si>
  <si>
    <t>vendedora pleno</t>
  </si>
  <si>
    <t>Fernanda de Castro Martins</t>
  </si>
  <si>
    <t>11 99661-2732</t>
  </si>
  <si>
    <t>martinscfernanda@gmail.com</t>
  </si>
  <si>
    <t>63.349.991 FERNANDA DE CASTRO MARTINS</t>
  </si>
  <si>
    <t>63.349.991/0001-32</t>
  </si>
  <si>
    <t xml:space="preserve">AV DR RUDGE RAMOS 1174  TOR D AP 87 - RUDGE RAMOS / CEP: 09638-000 - SAO BERNARDO DO CAMPO/SP </t>
  </si>
  <si>
    <t>Barbara Servigne de Oliveira</t>
  </si>
  <si>
    <t>11 94141-6117</t>
  </si>
  <si>
    <t>barbara.servigne@gmail.com</t>
  </si>
  <si>
    <t>64.844.365 BARBARA SERVIGNE DE OLIVEIRA</t>
  </si>
  <si>
    <t>64.844.365/0001-85</t>
  </si>
  <si>
    <t>R BARAO DE JAGUARA, 721, APT 31, CAMBUCI, SAO PAULO - SP, CEP: 01.520-010</t>
  </si>
  <si>
    <t>Banco Santander: Ag: 2990  /  C/c. 16023704-7  - PIX: 64.844.365/0001-85</t>
  </si>
  <si>
    <t>João Keven Silva de Lima</t>
  </si>
  <si>
    <t>11 91851-0953</t>
  </si>
  <si>
    <t>joaokeven45@gmail.com</t>
  </si>
  <si>
    <t>65.346.315 JOAO KEVEN SILVA DE LIMA</t>
  </si>
  <si>
    <t>65.346.315/0001-30</t>
  </si>
  <si>
    <t xml:space="preserve"> R SERGIPE, 223, MATA FRIA, MAIRIPORA/SP</t>
  </si>
  <si>
    <t>Banco Santander: Ag: 2990  /  C/c. 16033224-5  - PIX:  65.346.315/0001-30</t>
  </si>
  <si>
    <t>VT  é pago por fora</t>
  </si>
  <si>
    <t>Assistente Técnico</t>
  </si>
  <si>
    <t>não</t>
  </si>
  <si>
    <t>Denis Augusto Crepaldi</t>
  </si>
  <si>
    <t>EVOQUE</t>
  </si>
  <si>
    <t>DENIS AUGUSTO CREPALDI 32239905859</t>
  </si>
  <si>
    <t>30.185.798/0001-54</t>
  </si>
  <si>
    <t>Rua Doutor Benedito Tolosa, 239 - Parque Bristol - São Paulo - SP</t>
  </si>
  <si>
    <t>Banco: NuBank (0260) | AG. 0001 | CC. 97923391-9 | PIX: denis_cre@yahoo.com.br</t>
  </si>
  <si>
    <t>período de 01/04 até 15/04 (proporcional – 15 dias – já no contrato novo). / Para 15/05/2026 entram no fluxo mensal normal (Mês completo - 16/06 até 15/05). / Para 15/05/2026 entram no fluxo mensal normal (Mês completo - 16/06 até 15/05).</t>
  </si>
  <si>
    <t xml:space="preserve"> Técnico n3 </t>
  </si>
  <si>
    <t>Marcelo Lopes de Nascimento</t>
  </si>
  <si>
    <t xml:space="preserve"> 21 96783-7195</t>
  </si>
  <si>
    <t>marcelo.lopes301630@gmail.com</t>
  </si>
  <si>
    <t>MARCELO LOPES DO NASCIMENTO 02384377795</t>
  </si>
  <si>
    <t>30.396.530/0001-61</t>
  </si>
  <si>
    <t>Endereço: Rua Magalhães Couto, 763 bloco 4 apartamento 401 Méier Rio de janeiro RJ CEP: 20735-180</t>
  </si>
  <si>
    <t>Santander | AG. 2247 CC. 01005167-5 | PIX: CPF: 023843777-95</t>
  </si>
  <si>
    <t>Sergio Martins de Camargo</t>
  </si>
  <si>
    <t>11 96793-5531</t>
  </si>
  <si>
    <t>sergio.camargo@agiltelecom.com.br</t>
  </si>
  <si>
    <t>sca2567@gmail.com</t>
  </si>
  <si>
    <t>50.392.682 SERGIO MARTINS DE CAMARGO</t>
  </si>
  <si>
    <t>50.392.682/0001-01</t>
  </si>
  <si>
    <t>Rua Nova Friburgo 327, Jardim Penha São Paulo SP Cep: 03759-040</t>
  </si>
  <si>
    <t>Banco Inter | PIX: 50.392.682/0001-01</t>
  </si>
  <si>
    <t xml:space="preserve">Compras </t>
  </si>
  <si>
    <t>Comprador</t>
  </si>
  <si>
    <t>Leandro Alves do Nascimento</t>
  </si>
  <si>
    <t>Gerente Operacional</t>
  </si>
  <si>
    <t>Daiane Lisboa Miranda</t>
  </si>
  <si>
    <t>11 94495-3770</t>
  </si>
  <si>
    <t>daiane.lisboa@agiltelecom.com.br</t>
  </si>
  <si>
    <t>daialisboa@uol.com.br</t>
  </si>
  <si>
    <t>52.151.421 DAIANE LISBOA MIRANDA</t>
  </si>
  <si>
    <t>52.151.421/0001-17</t>
  </si>
  <si>
    <t>Rua Agrimônia, 71 - bloco 01 - apto 208 - Vila Raquel - São Paulo - SP - CEP 08041-390</t>
  </si>
  <si>
    <t>banco do Brasil, Ag. 4239-0 / CC 37057-6 / Pix = CNPJ 52.151.421/0001-17</t>
  </si>
  <si>
    <t>Pós Venda</t>
  </si>
  <si>
    <t>Rodrigo Candido do Carmo</t>
  </si>
  <si>
    <t>11 99374-6813</t>
  </si>
  <si>
    <t>rodrigo.candido@agiltelecom.com.br</t>
  </si>
  <si>
    <t>rodrigo.carmo1@outlook.com</t>
  </si>
  <si>
    <t>54.680.266 RODRIGO CANDIDO DO CARMO</t>
  </si>
  <si>
    <t>54.680.266/0001-51</t>
  </si>
  <si>
    <t>Rua Vander Moreira 30, Conj Hab. Sítio Conceição São Paulo CEP 08474-470</t>
  </si>
  <si>
    <t>Santander / Ag: 2991 / CC: 15.072506-1 / Chave PIX: 54680266000151</t>
  </si>
  <si>
    <t>N2</t>
  </si>
  <si>
    <t>Claudio Manuel Bezerra</t>
  </si>
  <si>
    <t>11 96692-7391</t>
  </si>
  <si>
    <t>claudio.bezerra@agiltelecom.com.br</t>
  </si>
  <si>
    <t>Claudiomanuelbezerra@gmail.com</t>
  </si>
  <si>
    <t>49.080.729 CLAUDIO MANUEL BEZERRA</t>
  </si>
  <si>
    <t>49.080.729/0001-04</t>
  </si>
  <si>
    <t>R BARROCO 00071 CASA C, JARDIM DO TIRO, 02.842-120/ SAO PAULO SP</t>
  </si>
  <si>
    <t>Santander, Ag: 2991 C/c: 150657087</t>
  </si>
  <si>
    <t xml:space="preserve">Camilla do Nascimento </t>
  </si>
  <si>
    <t>11 96901-1001</t>
  </si>
  <si>
    <t>camilla.nascimento@agiltelecom.com.br</t>
  </si>
  <si>
    <t>ncamilla10@gmail.com</t>
  </si>
  <si>
    <t>66.831.258 CAMILLA DO NASCIMENTO</t>
  </si>
  <si>
    <t>66.831.258/0001-48</t>
  </si>
  <si>
    <t>R Lidia Coelho 11 Apto.: 32 Santana - São Paulo CEP: 02035-030</t>
  </si>
  <si>
    <t>Santander: Ag 2990 C/c: 160639016</t>
  </si>
  <si>
    <t xml:space="preserve">vendedor pleno </t>
  </si>
  <si>
    <t>Marcio Tadeu da Silva</t>
  </si>
  <si>
    <t>11 93326-6656</t>
  </si>
  <si>
    <t>marcio.silva@agiltelecom.com.br</t>
  </si>
  <si>
    <t>mtsmilla@hotmail.com</t>
  </si>
  <si>
    <t>34.976.353 MARCIO TADEU DA SILVA</t>
  </si>
  <si>
    <t>34.976.353/0001-43</t>
  </si>
  <si>
    <t>R. Ana de Catro, 42 comp.: c/02 Vila das Merces, São Paulo - SP CEP: 04165-100</t>
  </si>
  <si>
    <t>Banco Santander  AG: 2990  C/C: 16.065559-1</t>
  </si>
  <si>
    <t>Fernando Moreno Julio</t>
  </si>
  <si>
    <t>11 99127-7350</t>
  </si>
  <si>
    <t>Fernando.moreno@agiltelecom.com.br</t>
  </si>
  <si>
    <t>naando@gmail.com</t>
  </si>
  <si>
    <t>49.819.163 FERNANDO MORENO JULIO</t>
  </si>
  <si>
    <t>49.819.163/0001-90</t>
  </si>
  <si>
    <t>RUA RIO GRANDE 477 ENTRADA 1 AP, 508, VILA ROSALIA / GUARULHOS - SP, CEP: 07072-070</t>
  </si>
  <si>
    <t>Providenciando</t>
  </si>
  <si>
    <t>Técnico N3</t>
  </si>
  <si>
    <t>ç</t>
  </si>
  <si>
    <t>CÓDIGO</t>
  </si>
  <si>
    <t>CONTRATANTE</t>
  </si>
  <si>
    <t>DATA DE ADMISSÃO</t>
  </si>
  <si>
    <t>DATA DE DEMISSÃO</t>
  </si>
  <si>
    <t>E-MAIL2</t>
  </si>
  <si>
    <t>RG</t>
  </si>
  <si>
    <t>CPF</t>
  </si>
  <si>
    <t>PENÚLTIMO SALÁRIO</t>
  </si>
  <si>
    <t>ÚLTIMO SALÁRIO</t>
  </si>
  <si>
    <t>SALÁRIO ATUAL</t>
  </si>
  <si>
    <t>AUMENTO ESPONTÂNEO</t>
  </si>
  <si>
    <t>DATA</t>
  </si>
  <si>
    <t>Aumento espontãneo 2</t>
  </si>
  <si>
    <t>data aum. Esp. 2</t>
  </si>
  <si>
    <t xml:space="preserve">PROMOÇÃO </t>
  </si>
  <si>
    <t>Dissídio 2025 5,20%</t>
  </si>
  <si>
    <t>Dissídio 2026 4,10%</t>
  </si>
  <si>
    <t>COMPLEMENTO SALARIAL</t>
  </si>
  <si>
    <t>AUXÍLIO EDUCAÇÃO</t>
  </si>
  <si>
    <t>TOTAL SALÁRIO ATUAL</t>
  </si>
  <si>
    <t>DEPARTAMENTO CENTRO DE CUSTO</t>
  </si>
  <si>
    <t>CARGO/FUNÇÃO</t>
  </si>
  <si>
    <t>OBSERVAÇÃO</t>
  </si>
  <si>
    <t>COMISSIONADO</t>
  </si>
  <si>
    <t>Adalberto Bertaglia</t>
  </si>
  <si>
    <t>DESATIVADO</t>
  </si>
  <si>
    <t>5.540.079-6</t>
  </si>
  <si>
    <t>919.523.448-91</t>
  </si>
  <si>
    <t>COMERCIAL</t>
  </si>
  <si>
    <t>Gerente de contas</t>
  </si>
  <si>
    <t>Alessandro Alves</t>
  </si>
  <si>
    <t>ATIVO</t>
  </si>
  <si>
    <t>alessandro.alves@agiltelecom.com.br</t>
  </si>
  <si>
    <t>DIRETORIA</t>
  </si>
  <si>
    <t>Sócio Administrador</t>
  </si>
  <si>
    <t>Aline dos Santos Gonçalves</t>
  </si>
  <si>
    <t>11 98267-1917</t>
  </si>
  <si>
    <t>allynevan@gmail.com</t>
  </si>
  <si>
    <t>Av. Alvaro Ramos, 1978, Quarta Parada - São Paulo, SP/ CEP: 03330-000</t>
  </si>
  <si>
    <t>32.275.314-4</t>
  </si>
  <si>
    <t>372.006.598-78</t>
  </si>
  <si>
    <t>Pix para a conta NUBANK 11982671917 ou dados do Itaú: Ag: 8213  C/c: 04844-3</t>
  </si>
  <si>
    <t>Técnico de Pós Vendas</t>
  </si>
  <si>
    <t>Amanda Semero Rego</t>
  </si>
  <si>
    <t>(11) 93327-4741</t>
  </si>
  <si>
    <t>amandarego1@outlook.com</t>
  </si>
  <si>
    <t>amanda.semeros@agiltelecom.com.br</t>
  </si>
  <si>
    <t>R.VINTE E CINCO DE FEVEREIRO, 67, VILA DOM PEDRO ll, CEP: 02241-070</t>
  </si>
  <si>
    <t>52.634.236-5</t>
  </si>
  <si>
    <t xml:space="preserve">527.641.058-51 </t>
  </si>
  <si>
    <t>BACKOFFICE</t>
  </si>
  <si>
    <t>Assistente Administrativo</t>
  </si>
  <si>
    <t>Ana Beatriz Berbel Marini</t>
  </si>
  <si>
    <t>11 94934-5484</t>
  </si>
  <si>
    <t>anaberbel.marini@gmail.com</t>
  </si>
  <si>
    <t>ana.marini@agiltelecom.com.br</t>
  </si>
  <si>
    <t>R MNS FRANCISCO DE PAULA, 515 CASA 2, VILA ARICANDUVA, São Paulo - SP, CEP: 03504-000</t>
  </si>
  <si>
    <t>54.460.861-6</t>
  </si>
  <si>
    <t>486.907.428-16</t>
  </si>
  <si>
    <t>Banco do Brasil / AG: 7038-6  - C/c: 18313-X   / Pix: 11 94934-5484</t>
  </si>
  <si>
    <t>TÉCNICA</t>
  </si>
  <si>
    <t xml:space="preserve">Auxiliar de atendimento e Suporte N1 </t>
  </si>
  <si>
    <t>André Lucas de Oliveira</t>
  </si>
  <si>
    <t>11 98238-5414</t>
  </si>
  <si>
    <t>oandrelucas94@gmail.com</t>
  </si>
  <si>
    <t>andre.oliveira@agiltelecom.com.br</t>
  </si>
  <si>
    <t>Rua Umuarama, 41 -  Jardim Vitória, São Paulo / SP - 08473-730</t>
  </si>
  <si>
    <t>50.892.653-1</t>
  </si>
  <si>
    <t>449.269.488-93</t>
  </si>
  <si>
    <t>Santander: Ag: 1086 C/c: 02000192-9</t>
  </si>
  <si>
    <t>FINANCEIRO</t>
  </si>
  <si>
    <t>Auxiliar de Contas a Pagar</t>
  </si>
  <si>
    <t>Não tem adiantamento, não descontar VT</t>
  </si>
  <si>
    <t>Bruna Ortiz Saadi</t>
  </si>
  <si>
    <t>11 98608-1296</t>
  </si>
  <si>
    <t>ortizsaadibruna@gmail.com</t>
  </si>
  <si>
    <t>bruna.ortiz@agiltelecom.com.br</t>
  </si>
  <si>
    <t xml:space="preserve">JARDIM BELA VISTA 964, CEP:  09041-031   </t>
  </si>
  <si>
    <t>43.567.553-9</t>
  </si>
  <si>
    <t>370.285.488-64</t>
  </si>
  <si>
    <t>Santander, Ag: 4472 c/c: 10160296</t>
  </si>
  <si>
    <t>Analista de Pós Vendas</t>
  </si>
  <si>
    <t>Cristina Rodrigues Santos</t>
  </si>
  <si>
    <t>11 96653-6404</t>
  </si>
  <si>
    <t>tinasantos6591@gmail.com</t>
  </si>
  <si>
    <t xml:space="preserve">Rua Virgilio Saccato, N° 153 – Jardim Brasil, São Paulo – SP CEP: 02227-060 </t>
  </si>
  <si>
    <t>44.300.714-7</t>
  </si>
  <si>
    <t>344.380.798-45</t>
  </si>
  <si>
    <t>Santander Ag: 2154 C/c: 01034464-6</t>
  </si>
  <si>
    <t>ADMINISTRATIVO</t>
  </si>
  <si>
    <t>Auxiliar de Limpeza</t>
  </si>
  <si>
    <t>Danilo Lopes de Oliveira</t>
  </si>
  <si>
    <t>(11) 96980-8656</t>
  </si>
  <si>
    <t>dkpl10@hotmail.com</t>
  </si>
  <si>
    <t>danilo.oliveira@agiltelecom.com.br</t>
  </si>
  <si>
    <t>45.087.283 -X</t>
  </si>
  <si>
    <t>361.954.968-04</t>
  </si>
  <si>
    <t>Auxiliar Técnico Pleno</t>
  </si>
  <si>
    <t>Eglin Tamires Ferreira da Silva</t>
  </si>
  <si>
    <t xml:space="preserve"> 09/04/2025</t>
  </si>
  <si>
    <t>11 949640608</t>
  </si>
  <si>
    <t>eglin.tamiresferreira@gmail.com</t>
  </si>
  <si>
    <t>Rua Laureano Jose de Lima, 46 comp. c/3, Vila Elias Nigri , São Paulo SP - cep: 2863120</t>
  </si>
  <si>
    <t>47.178.511-8</t>
  </si>
  <si>
    <t>393.178.328-65</t>
  </si>
  <si>
    <t>Santander: Ag 0563 / Cc 01083978-6/ Chave pix: eglin.tamiresferreira@gmail.com</t>
  </si>
  <si>
    <t>Assistente Comercial</t>
  </si>
  <si>
    <t>Elizabeth Carolina de Almeida Carneiro</t>
  </si>
  <si>
    <t>11 97567-6605</t>
  </si>
  <si>
    <t>ecac80@gmail.com</t>
  </si>
  <si>
    <t>elizabeth.carneiro@agiltelecom.com.br</t>
  </si>
  <si>
    <t xml:space="preserve"> RUA SIMAO BORGES,168 - COMPL.A C/4 - V MARIA - SAO 
PAULO - SP /  CEP:  02128010</t>
  </si>
  <si>
    <t>34.254.396-9</t>
  </si>
  <si>
    <t>296.425.038-32</t>
  </si>
  <si>
    <t>Santander: Ag: 0206 C/c: 01052278-5</t>
  </si>
  <si>
    <t>Auxiliar de Pós Vendas</t>
  </si>
  <si>
    <t>Gilmar dos Santos Rosa</t>
  </si>
  <si>
    <t>Auxiliar de Manutenção</t>
  </si>
  <si>
    <t>Gilso Santos Rosa</t>
  </si>
  <si>
    <t>11 99934-5918</t>
  </si>
  <si>
    <t>gilso@agiltelecom.com.br</t>
  </si>
  <si>
    <t> 04/05/1988</t>
  </si>
  <si>
    <t>41.810.598-4</t>
  </si>
  <si>
    <t>387.273.618-37</t>
  </si>
  <si>
    <t>joao.lima@agiltelecom.com.br</t>
  </si>
  <si>
    <t>39.430.912-1</t>
  </si>
  <si>
    <t>523.714.008.40</t>
  </si>
  <si>
    <t>Josiane do Nascimento Silva</t>
  </si>
  <si>
    <t>11 92017-7761</t>
  </si>
  <si>
    <t>josiane.silva@agiltelecom.com.br</t>
  </si>
  <si>
    <t>R.CANELA DO BREJO 231, CEP: 07152834</t>
  </si>
  <si>
    <t>42.088.954-1</t>
  </si>
  <si>
    <t>415.634.358-88</t>
  </si>
  <si>
    <t>Supervisora Operacional Junior</t>
  </si>
  <si>
    <t>Kayky de Araujo Camargo Chimatti</t>
  </si>
  <si>
    <t>11 94611-8268</t>
  </si>
  <si>
    <t>kayky8000@gmail.com</t>
  </si>
  <si>
    <t>kayky.chimatti@agiltelecom.com.br</t>
  </si>
  <si>
    <t>R.LIBERO DE MIRANDA 183, CEP: 02277-050</t>
  </si>
  <si>
    <t>39.278.877-9</t>
  </si>
  <si>
    <t xml:space="preserve"> 443.982.658-05</t>
  </si>
  <si>
    <t>Auxiliar de Compras</t>
  </si>
  <si>
    <t>Laura Placido de Souza Gomes</t>
  </si>
  <si>
    <t>11 95219-3181</t>
  </si>
  <si>
    <t>lauraplacido9@gmail.com</t>
  </si>
  <si>
    <t>laura.gomes@agiltelecom.com.br</t>
  </si>
  <si>
    <t xml:space="preserve"> R.RIO NILO REIS 9 , CEP: 09971-765</t>
  </si>
  <si>
    <t>39.209.368-6</t>
  </si>
  <si>
    <t>495.070.468-01</t>
  </si>
  <si>
    <t>Auxiliar de Contas a Receber</t>
  </si>
  <si>
    <t xml:space="preserve"> 01/12/2024</t>
  </si>
  <si>
    <t>Assistente de Contas a Pagar</t>
  </si>
  <si>
    <t>Leonília Brandão da Costa</t>
  </si>
  <si>
    <t xml:space="preserve"> 15/04/2025</t>
  </si>
  <si>
    <t>11 99145-8282</t>
  </si>
  <si>
    <t>souzalb.sp@hotmail.com</t>
  </si>
  <si>
    <t>Rua Atalaia Velha, 96 Apto 4, Vila Canero, São Paulo / SP,  CEP: 03191-140</t>
  </si>
  <si>
    <t>26.278.221-2</t>
  </si>
  <si>
    <t>183.046.618-61</t>
  </si>
  <si>
    <t>Itaú: Ag 7370/ Conta Poupança 10086 4  / Chave Pix: souzalb.sp@hotmail.com</t>
  </si>
  <si>
    <t>Luciana Regina Aro</t>
  </si>
  <si>
    <t>11 99115-6944</t>
  </si>
  <si>
    <t>lucianaaro9@gmail.com</t>
  </si>
  <si>
    <t>Rua Dr. Henrique Meyer, nº 171, apto 03, Vila Cachoeira - São Paulo - SP</t>
  </si>
  <si>
    <t>25.604.779-0</t>
  </si>
  <si>
    <t>174.380.528-42</t>
  </si>
  <si>
    <t>Santander: Ag: 2975 / C/c: 03071898-1</t>
  </si>
  <si>
    <t>Maria Simone Rodrigues Hubler</t>
  </si>
  <si>
    <t>simone23es@hotmail.com</t>
  </si>
  <si>
    <t>maria.hubler@agiltelecom.com.br</t>
  </si>
  <si>
    <t>Rua Attilio Bartaline, nº 80 BL A6, Apto 54, Vila Idependência - São Paulo/ SP, cep: 04220-003</t>
  </si>
  <si>
    <t>60.137.582-8</t>
  </si>
  <si>
    <t>067.834.634-86</t>
  </si>
  <si>
    <t>Santander, Ag: 3037 c/c: 01093293-0</t>
  </si>
  <si>
    <t>RECURSOS HUMANOS</t>
  </si>
  <si>
    <t>Analista de Recursos Humanos</t>
  </si>
  <si>
    <t>Marina Alves dos Santos</t>
  </si>
  <si>
    <t>11 99584-0961</t>
  </si>
  <si>
    <t>mariinasantos@hotmail.com</t>
  </si>
  <si>
    <t>marina.santos@agiltelecom.com.br</t>
  </si>
  <si>
    <t>R.DO ALTO 383, TUCURUVI, CEP: 02342-000</t>
  </si>
  <si>
    <t>38205183X</t>
  </si>
  <si>
    <t>237.131.478-17</t>
  </si>
  <si>
    <t>Marina Ferreira de Oliveira</t>
  </si>
  <si>
    <t>11 95852-0375</t>
  </si>
  <si>
    <t>marina.ferroli@hotmail.com</t>
  </si>
  <si>
    <t>marina.oliveira@agiltelecom.com.br</t>
  </si>
  <si>
    <t>R.MARTINS SARMENTO 619, CEP: 05878000</t>
  </si>
  <si>
    <t>2855517-0</t>
  </si>
  <si>
    <t>515397098-17</t>
  </si>
  <si>
    <t>MARKETING</t>
  </si>
  <si>
    <t>Analista de Marketing</t>
  </si>
  <si>
    <t>Matheus Freitas Santos</t>
  </si>
  <si>
    <t>11 99516-0646</t>
  </si>
  <si>
    <t>saoudamatheus2@gmail.com</t>
  </si>
  <si>
    <t>matheus.santos@agiltelecom.com.br</t>
  </si>
  <si>
    <t>R. Dr. Miguel V  Ferreira 191 AP 41 T2, Nova Zaira, Guarulhos, CEP: 07095070</t>
  </si>
  <si>
    <t>50.591.096-2</t>
  </si>
  <si>
    <t>240.579.578-71</t>
  </si>
  <si>
    <t xml:space="preserve">Santander: Ag 0140 C/c: 02059218-4                                                                                                                       </t>
  </si>
  <si>
    <t>Auxiliar Técnico N1</t>
  </si>
  <si>
    <t>Priscila da Silva Peres</t>
  </si>
  <si>
    <t xml:space="preserve"> 07/05/2025</t>
  </si>
  <si>
    <t>11 96495-8791</t>
  </si>
  <si>
    <t>prisciladasilvaperes1@gmail.com</t>
  </si>
  <si>
    <t>Rua Gravaçu, 178 casa 22 Portão Verde, Cidade Popular, São Paulo - SP, 08461-130  Viela</t>
  </si>
  <si>
    <t>48.119140-9</t>
  </si>
  <si>
    <t>403.589.658-61</t>
  </si>
  <si>
    <t>Santander: Ag 1086 C/c 01025907-1</t>
  </si>
  <si>
    <t>Rafael Felipew Bataglini Pellegrino</t>
  </si>
  <si>
    <t>11 95571-4751</t>
  </si>
  <si>
    <t>rfbpma@gmail.com</t>
  </si>
  <si>
    <t>rafael.pellegrino@agiltelecom.com.br</t>
  </si>
  <si>
    <t>R. FABIANO ALVES, 490, VILA PRUDENTE</t>
  </si>
  <si>
    <t>418105984</t>
  </si>
  <si>
    <t>Tecnico de rede I</t>
  </si>
  <si>
    <t>Robert dos Santos Mendonça</t>
  </si>
  <si>
    <t>11 92017-7759</t>
  </si>
  <si>
    <t>robert.mendonca.santos@gmail.com</t>
  </si>
  <si>
    <t>robert.mendonca@agiltelecom.com.br</t>
  </si>
  <si>
    <t>R. Tomoichi Shimizu, 181 BL A  apto 1510 Colônia (Zona Leste) CEP: 08260-140 São Paulo - SP</t>
  </si>
  <si>
    <t>39.736.549-4</t>
  </si>
  <si>
    <t>455.225.098-13</t>
  </si>
  <si>
    <t xml:space="preserve">Técnico de Suporte ao Usuário de Tecnologia da Informação N1 </t>
  </si>
  <si>
    <t>Sumaia da Silva</t>
  </si>
  <si>
    <t>11 98154-4024</t>
  </si>
  <si>
    <t>sumaia202666@gmail.com</t>
  </si>
  <si>
    <t>sumaia.silva@agiltelecom.com.br</t>
  </si>
  <si>
    <t xml:space="preserve"> R. DA SINCERIDADE 130, JARDIM PAULISTANO, CEP: 02813-115</t>
  </si>
  <si>
    <t>28.450.668-0</t>
  </si>
  <si>
    <t>274.046.128-37</t>
  </si>
  <si>
    <t>Analista Financeiro</t>
  </si>
  <si>
    <t>Thamirys Lima Parreiral</t>
  </si>
  <si>
    <t>11 95430-7413</t>
  </si>
  <si>
    <t>lima_thamirys@hotmail.com</t>
  </si>
  <si>
    <t>thamirys.parreiral@agiltelecom.com.br</t>
  </si>
  <si>
    <t>R OLGA DE SOUZA QUEIROS, 00076 CASA 01, PARQUE SAO LUIS, SAO PAULO, CEP: 02841-070</t>
  </si>
  <si>
    <t>47.246.571-5</t>
  </si>
  <si>
    <t>408.467.878-30</t>
  </si>
  <si>
    <t>Santander: Ag 0560 C/c: 1040976-0</t>
  </si>
  <si>
    <t>Vanusa de Lima Sousa</t>
  </si>
  <si>
    <t xml:space="preserve"> 24/11/2024</t>
  </si>
  <si>
    <t>LIMPEZA</t>
  </si>
  <si>
    <t>Vitoria Caroline Castelo Pereira</t>
  </si>
  <si>
    <t>11 94873-5295</t>
  </si>
  <si>
    <t>vitoriacarolinehpj1980@gmail.com</t>
  </si>
  <si>
    <t>Rua José Esperidiao, 206, Instituto de Previdencia, São Paulo / SP, CEP: 05532-010</t>
  </si>
  <si>
    <t>38.644.741-x</t>
  </si>
  <si>
    <t>350.162.878-13</t>
  </si>
  <si>
    <t>Banco: Santander / Agência: 0658 / Conta: 02001790-4</t>
  </si>
  <si>
    <t>ketelyn Taylor dos Santos Pinheiro</t>
  </si>
  <si>
    <t>11 95949-8091</t>
  </si>
  <si>
    <t>taylorketelyn@gmail.com</t>
  </si>
  <si>
    <t>RUA R SENA MADUREIRA 273 APTO 903, VILA CLEMENTINO, 04021-050  SAO PAULO  SP</t>
  </si>
  <si>
    <t>38.109.123-5</t>
  </si>
  <si>
    <t>475.874.278-21</t>
  </si>
  <si>
    <t>Banco Santander: AGÊNCIA: 3919. / CONTA: 02002646-2.</t>
  </si>
  <si>
    <t>Auxiliar Administrativo Comercial</t>
  </si>
  <si>
    <t>por 3 meses</t>
  </si>
  <si>
    <t>Midian Lopes da Silva</t>
  </si>
  <si>
    <t>11 98753-3057</t>
  </si>
  <si>
    <t>midiansilva889@gmail.com</t>
  </si>
  <si>
    <t xml:space="preserve">VEL IPE DO SAI EDGARD PINTO CESAR 89 - PARQUE SANTA MADALENA CEP: 03982-150 - SAO PAULO/SP </t>
  </si>
  <si>
    <t>101.700.434-01</t>
  </si>
  <si>
    <t>Banco do Brasil: Ag 1549-0 C/c: 50.547-1</t>
  </si>
  <si>
    <t>Ana Caroline Oliveira de Jesus</t>
  </si>
  <si>
    <t>11 96189-2266</t>
  </si>
  <si>
    <t>Carolineanaa874@gmail.com</t>
  </si>
  <si>
    <t>R  DA CAMINHADEIRA 29, VILA NOVA MAZZEI, 02313-030 S PAULO - SP</t>
  </si>
  <si>
    <t xml:space="preserve">37.380.443-x </t>
  </si>
  <si>
    <t>384.477.358-42</t>
  </si>
  <si>
    <t>Auxiliar de contas a pagar</t>
  </si>
  <si>
    <t>Alex Paulo Pereira Frois</t>
  </si>
  <si>
    <t xml:space="preserve">11 94242-1669 </t>
  </si>
  <si>
    <t>contatoalexfrois@gmail.com</t>
  </si>
  <si>
    <t>R JACOB GUILGER REIMBERG 727, JARDIM NOVO PARELHEIROS SÃO PAULO SP CEP: 04890-22</t>
  </si>
  <si>
    <t>30.077.300-1</t>
  </si>
  <si>
    <t>498.171.538-27</t>
  </si>
  <si>
    <t>Banco do Brasil: AG 4215-3  c/C: 78060-X</t>
  </si>
  <si>
    <t>Douglas Martins Cardoso Pessanha</t>
  </si>
  <si>
    <t>11 96766-1527</t>
  </si>
  <si>
    <t>dm.carioka@gmail.com</t>
  </si>
  <si>
    <t xml:space="preserve">R FACHEIRO 65 A AP 32 - VILA VERDE / CEP: 08230-750 - SAO PAULO/SP </t>
  </si>
  <si>
    <t>54.615.620-4</t>
  </si>
  <si>
    <t>565.240.948-75</t>
  </si>
  <si>
    <t>Banco do Brasil: AG 4311-7  c/C: 40448-9</t>
  </si>
  <si>
    <t>ESTAGIÁRIOS</t>
  </si>
  <si>
    <t>Guilherme Virgilio dos Santos</t>
  </si>
  <si>
    <t xml:space="preserve"> 02/05/2025</t>
  </si>
  <si>
    <t xml:space="preserve"> 11 94229-7837</t>
  </si>
  <si>
    <t>gui.virgilio08@gmail.com</t>
  </si>
  <si>
    <t>Rua Artur Alvim, 180 Vila Santa Teresa, São Paulo-SP, CEP: 03565-010</t>
  </si>
  <si>
    <t>60803509-9</t>
  </si>
  <si>
    <t>559738408-24</t>
  </si>
  <si>
    <t>Bradesco Ag: 1479 C/C: 53342-4</t>
  </si>
  <si>
    <t>Marketing</t>
  </si>
  <si>
    <t>Estagiário Design Gráfico</t>
  </si>
  <si>
    <t>Pix: 11 942297837</t>
  </si>
  <si>
    <t>Nome</t>
  </si>
  <si>
    <t>Data de Inicio</t>
  </si>
  <si>
    <t>Data de Nascimento</t>
  </si>
  <si>
    <t>Departamento</t>
  </si>
  <si>
    <t>cargo</t>
  </si>
  <si>
    <t>EMPRESA</t>
  </si>
  <si>
    <t>SALÁRIO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</si>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</sst>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00"/>
    <numFmt numFmtId="165" formatCode="&quot;R$&quot;\ #,##0.00"/>
    <numFmt numFmtId="166" formatCode="_-[$R$-416]\ * #,##0.00_-;\-[$R$-416]\ * #,##0.00_-;_-[$R$-416]\ 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name val="Calibri"/>
      <family val="2"/>
      <scheme val="minor"/>
    </font>
    <font>
      <b/>
      <sz val="12"/>
      <color theme="0"/>
      <name val="Aptos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6" tint="0.59999389629810485"/>
      </patternFill>
    </fill>
    <fill>
      <patternFill patternType="solid">
        <fgColor rgb="FFFF0000"/>
        <bgColor theme="6" tint="0.79998168889431442"/>
      </patternFill>
    </fill>
    <fill>
      <patternFill patternType="solid">
        <fgColor rgb="FFEE0000"/>
        <bgColor theme="6" tint="0.59999389629810485"/>
      </patternFill>
    </fill>
    <fill>
      <patternFill patternType="solid">
        <fgColor rgb="FFEE0000"/>
        <bgColor indexed="64"/>
      </patternFill>
    </fill>
    <fill>
      <patternFill patternType="solid">
        <fgColor theme="2"/>
        <bgColor theme="6" tint="0.59999389629810485"/>
      </patternFill>
    </fill>
    <fill>
      <patternFill patternType="solid">
        <fgColor theme="2"/>
        <bgColor theme="6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4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/>
    </xf>
    <xf numFmtId="14" fontId="8" fillId="0" borderId="1" xfId="0" applyNumberFormat="1" applyFont="1" applyBorder="1"/>
    <xf numFmtId="0" fontId="8" fillId="0" borderId="1" xfId="0" applyFont="1" applyBorder="1"/>
    <xf numFmtId="44" fontId="8" fillId="0" borderId="1" xfId="1" applyFont="1" applyBorder="1"/>
    <xf numFmtId="44" fontId="8" fillId="0" borderId="1" xfId="0" applyNumberFormat="1" applyFont="1" applyBorder="1"/>
    <xf numFmtId="0" fontId="9" fillId="3" borderId="1" xfId="0" applyFont="1" applyFill="1" applyBorder="1" applyAlignment="1">
      <alignment horizontal="left"/>
    </xf>
    <xf numFmtId="0" fontId="0" fillId="0" borderId="5" xfId="0" applyBorder="1"/>
    <xf numFmtId="0" fontId="9" fillId="0" borderId="5" xfId="0" applyFont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2" applyBorder="1"/>
    <xf numFmtId="44" fontId="0" fillId="0" borderId="1" xfId="1" applyFont="1" applyBorder="1" applyAlignment="1">
      <alignment horizontal="right"/>
    </xf>
    <xf numFmtId="44" fontId="0" fillId="0" borderId="1" xfId="1" applyFont="1" applyBorder="1"/>
    <xf numFmtId="14" fontId="0" fillId="0" borderId="1" xfId="1" applyNumberFormat="1" applyFont="1" applyBorder="1"/>
    <xf numFmtId="44" fontId="0" fillId="0" borderId="1" xfId="0" applyNumberFormat="1" applyBorder="1"/>
    <xf numFmtId="8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5" fillId="0" borderId="1" xfId="2" applyBorder="1" applyAlignment="1">
      <alignment horizontal="left"/>
    </xf>
    <xf numFmtId="0" fontId="9" fillId="0" borderId="1" xfId="2" applyFont="1" applyBorder="1"/>
    <xf numFmtId="164" fontId="0" fillId="0" borderId="1" xfId="0" applyNumberFormat="1" applyBorder="1"/>
    <xf numFmtId="49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6" fontId="0" fillId="0" borderId="1" xfId="0" applyNumberFormat="1" applyBorder="1"/>
    <xf numFmtId="0" fontId="8" fillId="0" borderId="0" xfId="0" applyFont="1"/>
    <xf numFmtId="0" fontId="9" fillId="0" borderId="1" xfId="0" applyFont="1" applyBorder="1"/>
    <xf numFmtId="0" fontId="3" fillId="0" borderId="0" xfId="0" applyFont="1"/>
    <xf numFmtId="0" fontId="0" fillId="0" borderId="7" xfId="0" applyBorder="1"/>
    <xf numFmtId="44" fontId="0" fillId="0" borderId="7" xfId="1" applyFont="1" applyBorder="1"/>
    <xf numFmtId="44" fontId="0" fillId="0" borderId="7" xfId="0" applyNumberFormat="1" applyBorder="1"/>
    <xf numFmtId="8" fontId="0" fillId="0" borderId="7" xfId="0" applyNumberFormat="1" applyBorder="1"/>
    <xf numFmtId="0" fontId="0" fillId="0" borderId="9" xfId="0" applyBorder="1"/>
    <xf numFmtId="0" fontId="9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9" fillId="3" borderId="3" xfId="0" applyFont="1" applyFill="1" applyBorder="1" applyAlignment="1">
      <alignment horizontal="left"/>
    </xf>
    <xf numFmtId="165" fontId="0" fillId="0" borderId="1" xfId="0" applyNumberFormat="1" applyBorder="1"/>
    <xf numFmtId="0" fontId="0" fillId="0" borderId="8" xfId="0" applyBorder="1"/>
    <xf numFmtId="0" fontId="2" fillId="8" borderId="1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5" xfId="0" applyFont="1" applyFill="1" applyBorder="1"/>
    <xf numFmtId="1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44" fontId="2" fillId="4" borderId="1" xfId="1" applyFont="1" applyFill="1" applyBorder="1" applyAlignment="1">
      <alignment horizontal="right"/>
    </xf>
    <xf numFmtId="8" fontId="2" fillId="4" borderId="1" xfId="0" applyNumberFormat="1" applyFont="1" applyFill="1" applyBorder="1"/>
    <xf numFmtId="44" fontId="2" fillId="4" borderId="1" xfId="1" applyFont="1" applyFill="1" applyBorder="1"/>
    <xf numFmtId="44" fontId="2" fillId="4" borderId="1" xfId="0" applyNumberFormat="1" applyFont="1" applyFill="1" applyBorder="1"/>
    <xf numFmtId="0" fontId="2" fillId="4" borderId="6" xfId="0" applyFont="1" applyFill="1" applyBorder="1"/>
    <xf numFmtId="0" fontId="4" fillId="0" borderId="0" xfId="0" applyFont="1"/>
    <xf numFmtId="0" fontId="11" fillId="4" borderId="1" xfId="2" applyFont="1" applyFill="1" applyBorder="1"/>
    <xf numFmtId="14" fontId="2" fillId="4" borderId="1" xfId="0" applyNumberFormat="1" applyFont="1" applyFill="1" applyBorder="1" applyAlignment="1">
      <alignment horizontal="right"/>
    </xf>
    <xf numFmtId="0" fontId="4" fillId="7" borderId="0" xfId="0" applyFont="1" applyFill="1"/>
    <xf numFmtId="0" fontId="0" fillId="0" borderId="5" xfId="0" applyBorder="1" applyAlignment="1">
      <alignment vertical="center"/>
    </xf>
    <xf numFmtId="0" fontId="9" fillId="0" borderId="5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4" fillId="8" borderId="1" xfId="0" applyFont="1" applyFill="1" applyBorder="1" applyAlignment="1">
      <alignment horizontal="left"/>
    </xf>
    <xf numFmtId="0" fontId="2" fillId="4" borderId="1" xfId="2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/>
    </xf>
    <xf numFmtId="0" fontId="7" fillId="4" borderId="1" xfId="0" applyFont="1" applyFill="1" applyBorder="1"/>
    <xf numFmtId="0" fontId="12" fillId="0" borderId="1" xfId="2" applyFont="1" applyBorder="1"/>
    <xf numFmtId="0" fontId="12" fillId="0" borderId="1" xfId="2" applyFont="1" applyBorder="1" applyAlignment="1">
      <alignment vertical="center"/>
    </xf>
    <xf numFmtId="0" fontId="12" fillId="0" borderId="1" xfId="2" applyFont="1" applyBorder="1" applyAlignment="1">
      <alignment horizontal="left"/>
    </xf>
    <xf numFmtId="0" fontId="9" fillId="0" borderId="7" xfId="0" applyFont="1" applyBorder="1"/>
    <xf numFmtId="0" fontId="2" fillId="4" borderId="1" xfId="2" applyFont="1" applyFill="1" applyBorder="1"/>
    <xf numFmtId="0" fontId="13" fillId="4" borderId="1" xfId="2" applyFont="1" applyFill="1" applyBorder="1"/>
    <xf numFmtId="0" fontId="3" fillId="0" borderId="0" xfId="0" applyFont="1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11" fillId="4" borderId="1" xfId="2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44" fontId="2" fillId="4" borderId="1" xfId="1" applyFont="1" applyFill="1" applyBorder="1" applyAlignment="1">
      <alignment vertical="center"/>
    </xf>
    <xf numFmtId="44" fontId="2" fillId="4" borderId="1" xfId="0" applyNumberFormat="1" applyFont="1" applyFill="1" applyBorder="1" applyAlignment="1">
      <alignment vertical="center"/>
    </xf>
    <xf numFmtId="8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vertical="center"/>
    </xf>
    <xf numFmtId="3" fontId="2" fillId="4" borderId="1" xfId="0" applyNumberFormat="1" applyFont="1" applyFill="1" applyBorder="1"/>
    <xf numFmtId="0" fontId="7" fillId="2" borderId="3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14" fontId="2" fillId="4" borderId="0" xfId="0" applyNumberFormat="1" applyFont="1" applyFill="1"/>
    <xf numFmtId="0" fontId="2" fillId="8" borderId="7" xfId="0" applyFont="1" applyFill="1" applyBorder="1" applyAlignment="1">
      <alignment horizontal="left"/>
    </xf>
    <xf numFmtId="0" fontId="2" fillId="4" borderId="7" xfId="0" applyFont="1" applyFill="1" applyBorder="1"/>
    <xf numFmtId="0" fontId="2" fillId="4" borderId="8" xfId="0" applyFont="1" applyFill="1" applyBorder="1"/>
    <xf numFmtId="14" fontId="2" fillId="4" borderId="7" xfId="0" applyNumberFormat="1" applyFont="1" applyFill="1" applyBorder="1"/>
    <xf numFmtId="0" fontId="11" fillId="4" borderId="7" xfId="2" applyFont="1" applyFill="1" applyBorder="1"/>
    <xf numFmtId="44" fontId="2" fillId="4" borderId="7" xfId="1" applyFont="1" applyFill="1" applyBorder="1"/>
    <xf numFmtId="44" fontId="2" fillId="4" borderId="7" xfId="0" applyNumberFormat="1" applyFont="1" applyFill="1" applyBorder="1"/>
    <xf numFmtId="8" fontId="2" fillId="4" borderId="7" xfId="0" applyNumberFormat="1" applyFont="1" applyFill="1" applyBorder="1"/>
    <xf numFmtId="0" fontId="2" fillId="4" borderId="7" xfId="0" applyFont="1" applyFill="1" applyBorder="1" applyAlignment="1">
      <alignment horizontal="right"/>
    </xf>
    <xf numFmtId="0" fontId="2" fillId="4" borderId="9" xfId="0" applyFont="1" applyFill="1" applyBorder="1"/>
    <xf numFmtId="0" fontId="2" fillId="8" borderId="3" xfId="0" applyFont="1" applyFill="1" applyBorder="1" applyAlignment="1">
      <alignment horizontal="left"/>
    </xf>
    <xf numFmtId="0" fontId="2" fillId="4" borderId="7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3" borderId="1" xfId="0" applyFill="1" applyBorder="1"/>
    <xf numFmtId="0" fontId="0" fillId="5" borderId="1" xfId="0" applyFill="1" applyBorder="1"/>
    <xf numFmtId="0" fontId="5" fillId="0" borderId="5" xfId="2" applyBorder="1"/>
    <xf numFmtId="0" fontId="9" fillId="0" borderId="1" xfId="2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right"/>
    </xf>
    <xf numFmtId="0" fontId="5" fillId="0" borderId="0" xfId="2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 vertical="center"/>
    </xf>
    <xf numFmtId="0" fontId="2" fillId="9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7" fillId="4" borderId="1" xfId="0" applyFont="1" applyFill="1" applyBorder="1"/>
    <xf numFmtId="0" fontId="2" fillId="4" borderId="3" xfId="0" applyFont="1" applyFill="1" applyBorder="1"/>
    <xf numFmtId="0" fontId="2" fillId="4" borderId="2" xfId="0" applyFont="1" applyFill="1" applyBorder="1"/>
    <xf numFmtId="14" fontId="2" fillId="4" borderId="3" xfId="0" applyNumberFormat="1" applyFont="1" applyFill="1" applyBorder="1"/>
    <xf numFmtId="0" fontId="11" fillId="4" borderId="3" xfId="2" applyFont="1" applyFill="1" applyBorder="1"/>
    <xf numFmtId="44" fontId="2" fillId="4" borderId="3" xfId="1" applyFont="1" applyFill="1" applyBorder="1"/>
    <xf numFmtId="44" fontId="2" fillId="4" borderId="3" xfId="0" applyNumberFormat="1" applyFont="1" applyFill="1" applyBorder="1"/>
    <xf numFmtId="8" fontId="2" fillId="4" borderId="3" xfId="0" applyNumberFormat="1" applyFont="1" applyFill="1" applyBorder="1"/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/>
    <xf numFmtId="0" fontId="2" fillId="11" borderId="1" xfId="0" applyFont="1" applyFill="1" applyBorder="1"/>
    <xf numFmtId="14" fontId="2" fillId="11" borderId="1" xfId="0" applyNumberFormat="1" applyFont="1" applyFill="1" applyBorder="1"/>
    <xf numFmtId="0" fontId="11" fillId="11" borderId="1" xfId="2" applyFont="1" applyFill="1" applyBorder="1"/>
    <xf numFmtId="0" fontId="17" fillId="11" borderId="1" xfId="0" applyFont="1" applyFill="1" applyBorder="1" applyAlignment="1">
      <alignment wrapText="1"/>
    </xf>
    <xf numFmtId="44" fontId="2" fillId="11" borderId="1" xfId="1" applyFont="1" applyFill="1" applyBorder="1"/>
    <xf numFmtId="44" fontId="2" fillId="11" borderId="1" xfId="0" applyNumberFormat="1" applyFont="1" applyFill="1" applyBorder="1"/>
    <xf numFmtId="0" fontId="2" fillId="10" borderId="3" xfId="0" applyFont="1" applyFill="1" applyBorder="1" applyAlignment="1">
      <alignment horizontal="left"/>
    </xf>
    <xf numFmtId="0" fontId="2" fillId="11" borderId="5" xfId="0" applyFont="1" applyFill="1" applyBorder="1"/>
    <xf numFmtId="0" fontId="2" fillId="11" borderId="0" xfId="0" applyFont="1" applyFill="1"/>
    <xf numFmtId="8" fontId="2" fillId="11" borderId="1" xfId="0" applyNumberFormat="1" applyFont="1" applyFill="1" applyBorder="1"/>
    <xf numFmtId="0" fontId="2" fillId="11" borderId="1" xfId="0" applyFont="1" applyFill="1" applyBorder="1" applyAlignment="1">
      <alignment horizontal="right"/>
    </xf>
    <xf numFmtId="0" fontId="2" fillId="11" borderId="6" xfId="0" applyFont="1" applyFill="1" applyBorder="1"/>
    <xf numFmtId="0" fontId="2" fillId="8" borderId="1" xfId="0" applyFont="1" applyFill="1" applyBorder="1"/>
    <xf numFmtId="0" fontId="2" fillId="4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top" wrapText="1"/>
    </xf>
    <xf numFmtId="44" fontId="2" fillId="4" borderId="1" xfId="1" applyFont="1" applyFill="1" applyBorder="1" applyAlignment="1">
      <alignment horizontal="center"/>
    </xf>
    <xf numFmtId="44" fontId="2" fillId="4" borderId="1" xfId="0" applyNumberFormat="1" applyFont="1" applyFill="1" applyBorder="1" applyAlignment="1">
      <alignment horizontal="center"/>
    </xf>
    <xf numFmtId="8" fontId="2" fillId="4" borderId="1" xfId="0" applyNumberFormat="1" applyFont="1" applyFill="1" applyBorder="1" applyAlignment="1">
      <alignment horizontal="left"/>
    </xf>
    <xf numFmtId="8" fontId="2" fillId="4" borderId="1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1" xfId="0" applyFont="1" applyFill="1" applyBorder="1"/>
    <xf numFmtId="0" fontId="2" fillId="0" borderId="0" xfId="0" applyFont="1"/>
    <xf numFmtId="44" fontId="0" fillId="0" borderId="1" xfId="1" applyFont="1" applyFill="1" applyBorder="1" applyAlignment="1">
      <alignment vertical="center"/>
    </xf>
    <xf numFmtId="14" fontId="0" fillId="0" borderId="1" xfId="1" applyNumberFormat="1" applyFont="1" applyBorder="1" applyAlignment="1">
      <alignment vertical="center"/>
    </xf>
    <xf numFmtId="2" fontId="0" fillId="0" borderId="1" xfId="0" applyNumberFormat="1" applyBorder="1"/>
    <xf numFmtId="0" fontId="18" fillId="4" borderId="0" xfId="0" applyFont="1" applyFill="1"/>
    <xf numFmtId="0" fontId="18" fillId="4" borderId="6" xfId="0" applyFont="1" applyFill="1" applyBorder="1"/>
    <xf numFmtId="0" fontId="19" fillId="9" borderId="1" xfId="0" applyFont="1" applyFill="1" applyBorder="1" applyAlignment="1">
      <alignment horizontal="left"/>
    </xf>
    <xf numFmtId="0" fontId="19" fillId="4" borderId="8" xfId="0" applyFont="1" applyFill="1" applyBorder="1"/>
    <xf numFmtId="0" fontId="19" fillId="4" borderId="1" xfId="0" applyFont="1" applyFill="1" applyBorder="1"/>
    <xf numFmtId="0" fontId="19" fillId="4" borderId="5" xfId="0" applyFont="1" applyFill="1" applyBorder="1"/>
    <xf numFmtId="14" fontId="19" fillId="4" borderId="7" xfId="0" applyNumberFormat="1" applyFont="1" applyFill="1" applyBorder="1"/>
    <xf numFmtId="0" fontId="19" fillId="4" borderId="7" xfId="0" applyFont="1" applyFill="1" applyBorder="1"/>
    <xf numFmtId="0" fontId="20" fillId="4" borderId="7" xfId="2" applyFont="1" applyFill="1" applyBorder="1"/>
    <xf numFmtId="0" fontId="19" fillId="4" borderId="9" xfId="0" applyFont="1" applyFill="1" applyBorder="1"/>
    <xf numFmtId="0" fontId="19" fillId="4" borderId="7" xfId="0" applyFont="1" applyFill="1" applyBorder="1" applyAlignment="1">
      <alignment wrapText="1"/>
    </xf>
    <xf numFmtId="44" fontId="19" fillId="4" borderId="1" xfId="1" applyFont="1" applyFill="1" applyBorder="1"/>
    <xf numFmtId="44" fontId="19" fillId="4" borderId="7" xfId="0" applyNumberFormat="1" applyFont="1" applyFill="1" applyBorder="1"/>
    <xf numFmtId="0" fontId="19" fillId="4" borderId="1" xfId="0" applyFont="1" applyFill="1" applyBorder="1" applyAlignment="1">
      <alignment horizontal="right"/>
    </xf>
    <xf numFmtId="8" fontId="19" fillId="4" borderId="7" xfId="0" applyNumberFormat="1" applyFont="1" applyFill="1" applyBorder="1"/>
    <xf numFmtId="0" fontId="19" fillId="4" borderId="0" xfId="0" applyFont="1" applyFill="1"/>
    <xf numFmtId="0" fontId="19" fillId="8" borderId="3" xfId="0" applyFont="1" applyFill="1" applyBorder="1" applyAlignment="1">
      <alignment horizontal="left"/>
    </xf>
    <xf numFmtId="14" fontId="19" fillId="4" borderId="1" xfId="0" applyNumberFormat="1" applyFont="1" applyFill="1" applyBorder="1"/>
    <xf numFmtId="0" fontId="20" fillId="4" borderId="1" xfId="2" applyFont="1" applyFill="1" applyBorder="1"/>
    <xf numFmtId="44" fontId="19" fillId="4" borderId="1" xfId="0" applyNumberFormat="1" applyFont="1" applyFill="1" applyBorder="1"/>
    <xf numFmtId="8" fontId="19" fillId="4" borderId="1" xfId="0" applyNumberFormat="1" applyFont="1" applyFill="1" applyBorder="1"/>
    <xf numFmtId="0" fontId="19" fillId="4" borderId="6" xfId="0" applyFont="1" applyFill="1" applyBorder="1"/>
    <xf numFmtId="0" fontId="11" fillId="4" borderId="1" xfId="2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left"/>
    </xf>
    <xf numFmtId="0" fontId="19" fillId="9" borderId="1" xfId="0" applyFont="1" applyFill="1" applyBorder="1"/>
    <xf numFmtId="0" fontId="21" fillId="0" borderId="1" xfId="2" applyFont="1" applyBorder="1"/>
    <xf numFmtId="14" fontId="9" fillId="0" borderId="1" xfId="0" applyNumberFormat="1" applyFont="1" applyBorder="1" applyAlignment="1">
      <alignment horizontal="left"/>
    </xf>
    <xf numFmtId="49" fontId="0" fillId="0" borderId="1" xfId="0" applyNumberFormat="1" applyBorder="1"/>
    <xf numFmtId="17" fontId="2" fillId="4" borderId="1" xfId="0" applyNumberFormat="1" applyFont="1" applyFill="1" applyBorder="1"/>
    <xf numFmtId="0" fontId="2" fillId="4" borderId="1" xfId="0" applyFont="1" applyFill="1" applyBorder="1" applyAlignment="1">
      <alignment horizontal="right" wrapText="1"/>
    </xf>
    <xf numFmtId="0" fontId="19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wrapText="1"/>
    </xf>
    <xf numFmtId="0" fontId="5" fillId="4" borderId="1" xfId="2" applyFill="1" applyBorder="1"/>
    <xf numFmtId="14" fontId="19" fillId="4" borderId="1" xfId="0" applyNumberFormat="1" applyFont="1" applyFill="1" applyBorder="1" applyAlignment="1">
      <alignment horizontal="right"/>
    </xf>
    <xf numFmtId="0" fontId="19" fillId="4" borderId="1" xfId="0" applyFont="1" applyFill="1" applyBorder="1" applyAlignment="1">
      <alignment horizontal="left"/>
    </xf>
    <xf numFmtId="166" fontId="0" fillId="0" borderId="1" xfId="1" applyNumberFormat="1" applyFont="1" applyBorder="1"/>
    <xf numFmtId="0" fontId="0" fillId="2" borderId="0" xfId="0" applyFill="1"/>
    <xf numFmtId="0" fontId="3" fillId="2" borderId="0" xfId="0" applyFont="1" applyFill="1"/>
    <xf numFmtId="0" fontId="22" fillId="0" borderId="1" xfId="0" applyFont="1" applyBorder="1" applyAlignment="1">
      <alignment wrapText="1"/>
    </xf>
    <xf numFmtId="8" fontId="2" fillId="4" borderId="1" xfId="0" applyNumberFormat="1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44" fontId="0" fillId="0" borderId="0" xfId="0" applyNumberFormat="1"/>
    <xf numFmtId="0" fontId="23" fillId="4" borderId="1" xfId="0" applyFont="1" applyFill="1" applyBorder="1" applyAlignment="1">
      <alignment wrapText="1"/>
    </xf>
    <xf numFmtId="0" fontId="11" fillId="4" borderId="0" xfId="2" applyFont="1" applyFill="1" applyBorder="1"/>
    <xf numFmtId="14" fontId="2" fillId="4" borderId="10" xfId="0" applyNumberFormat="1" applyFont="1" applyFill="1" applyBorder="1"/>
    <xf numFmtId="14" fontId="0" fillId="0" borderId="7" xfId="0" applyNumberFormat="1" applyBorder="1"/>
    <xf numFmtId="0" fontId="5" fillId="0" borderId="7" xfId="2" applyFill="1" applyBorder="1"/>
    <xf numFmtId="0" fontId="5" fillId="0" borderId="1" xfId="2" applyFill="1" applyBorder="1"/>
    <xf numFmtId="44" fontId="0" fillId="0" borderId="1" xfId="1" applyFont="1" applyFill="1" applyBorder="1"/>
    <xf numFmtId="0" fontId="2" fillId="9" borderId="1" xfId="0" applyFont="1" applyFill="1" applyBorder="1"/>
    <xf numFmtId="0" fontId="6" fillId="6" borderId="0" xfId="0" applyFont="1" applyFill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10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R$&quot;\ #,##0.00;[Red]\-&quot;R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69848</xdr:colOff>
      <xdr:row>3</xdr:row>
      <xdr:rowOff>266700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F8FCAA-86D1-9DE5-087B-1EE3A837A0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10" t="21930" r="-45614" b="25439"/>
        <a:stretch>
          <a:fillRect/>
        </a:stretch>
      </xdr:blipFill>
      <xdr:spPr>
        <a:xfrm>
          <a:off x="0" y="0"/>
          <a:ext cx="2905123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1904998</xdr:colOff>
      <xdr:row>4</xdr:row>
      <xdr:rowOff>92075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B5CBC4-9A10-4072-94B9-7817838B2B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10" t="21930" r="-45614" b="25439"/>
        <a:stretch>
          <a:fillRect/>
        </a:stretch>
      </xdr:blipFill>
      <xdr:spPr>
        <a:xfrm>
          <a:off x="0" y="0"/>
          <a:ext cx="2920998" cy="828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2066923</xdr:colOff>
      <xdr:row>4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55BC4D5-CC50-496E-8294-3E56742574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10" t="21930" r="-45614" b="25439"/>
        <a:stretch>
          <a:fillRect/>
        </a:stretch>
      </xdr:blipFill>
      <xdr:spPr>
        <a:xfrm>
          <a:off x="0" y="0"/>
          <a:ext cx="2905123" cy="8096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84982-405C-4B51-B9F3-4FE051FFCF9C}" name="Tabela2" displayName="Tabela2" ref="B5:AG204" totalsRowShown="0" headerRowDxfId="103" headerRowBorderDxfId="101" tableBorderDxfId="102" totalsRowBorderDxfId="100">
  <autoFilter ref="B5:AG204" xr:uid="{09884982-405C-4B51-B9F3-4FE051FFCF9C}">
    <filterColumn colId="2">
      <filters>
        <filter val="Ativo"/>
      </filters>
    </filterColumn>
  </autoFilter>
  <tableColumns count="32">
    <tableColumn id="1" xr3:uid="{25F18543-6C89-461E-BB05-261AF280AE19}" name="NOME" dataDxfId="99"/>
    <tableColumn id="19" xr3:uid="{84B4B179-B1D6-4D75-99CE-7B31B625DB72}" name="Contratante" dataDxfId="98"/>
    <tableColumn id="26" xr3:uid="{018C1355-C069-4938-B2DB-A9BDE93670F3}" name="STATUS" dataDxfId="97"/>
    <tableColumn id="28" xr3:uid="{0DAAB62C-0EBA-4006-8E7C-779267B6E524}" name="GÊNERO" dataDxfId="96"/>
    <tableColumn id="2" xr3:uid="{C189425F-11FA-4DAF-B2FA-BABBA4F8D818}" name="DATA DE INÍCIO" dataDxfId="95"/>
    <tableColumn id="27" xr3:uid="{E2BB69F1-B7C5-44F2-BF7A-DB6D767466A2}" name="TÉRMINO" dataDxfId="94"/>
    <tableColumn id="3" xr3:uid="{F6BD2847-9353-4F35-9D23-B7E69915C9A5}" name="TELEFONE PESSOAL" dataDxfId="93"/>
    <tableColumn id="4" xr3:uid="{0E6DE117-148D-4147-8FC2-FF95A910D397}" name="TELEFONE AGIL" dataDxfId="92"/>
    <tableColumn id="29" xr3:uid="{8333A233-7EF3-4FD9-A2C5-A557453236C9}" name="RAMAL" dataDxfId="91"/>
    <tableColumn id="30" xr3:uid="{A9332CDE-5B1B-43FA-A0A7-537A37D46635}" name="E-MAIL AGIL" dataDxfId="90"/>
    <tableColumn id="5" xr3:uid="{BF6C6791-A342-4101-BDF2-4D6814525629}" name="E-MAIL" dataDxfId="89"/>
    <tableColumn id="6" xr3:uid="{3E53BF04-2A21-45A2-9D6B-141CB96D2F98}" name="RAZÃO SOCIAL" dataDxfId="88"/>
    <tableColumn id="7" xr3:uid="{09DD4274-18E4-4FD3-88FC-1EA31C90A8D7}" name="CNPJ" dataDxfId="87"/>
    <tableColumn id="8" xr3:uid="{1232FC50-CEFF-44B0-B8A2-4BEC8A20BFC7}" name="ENDEREÇO" dataDxfId="86"/>
    <tableColumn id="9" xr3:uid="{E3A9E1F0-695B-463A-B2E2-C40BDC48E90F}" name="DATA DE NASCIMENTO" dataDxfId="85"/>
    <tableColumn id="10" xr3:uid="{40EB370F-030D-4728-ABBB-DC6FC9473A6F}" name="DADOS BANCÁRIOS" dataDxfId="84"/>
    <tableColumn id="11" xr3:uid="{12410C14-059E-4732-89EE-2F6BD24A9D5B}" name="VALIDADE DO CONTRATO" dataDxfId="83"/>
    <tableColumn id="12" xr3:uid="{71ABB2DF-5AAA-4D93-8824-9E7372DCE84D}" name="VALOR DO SERVIÇO CONTRATADO" dataDxfId="82"/>
    <tableColumn id="13" xr3:uid="{9222F803-AE9E-453C-9CDC-EFA8CC774626}" name="AUMENTOS ESPONTÂNEOS" dataDxfId="81"/>
    <tableColumn id="20" xr3:uid="{C11E8B6A-C8E1-43C9-9203-83CD9642468E}" name="VALOR" dataDxfId="80"/>
    <tableColumn id="14" xr3:uid="{9B956157-8CE2-43FF-80D9-01A8EC9DC19E}" name="AUMENTOS ESPONTÂNEOS2" dataDxfId="79"/>
    <tableColumn id="22" xr3:uid="{8F4D7C89-F661-4504-BB61-2D721BF59039}" name="VALOR2" dataDxfId="78"/>
    <tableColumn id="32" xr3:uid="{C54A81FD-A0BF-4E43-972B-B15BE9F783FD}" name="AUMENTOS ESPONTÂNEO3" dataDxfId="77"/>
    <tableColumn id="31" xr3:uid="{C2C5A3A7-77A6-4CA7-B488-E17C22336458}" name="VALOR3" dataDxfId="76"/>
    <tableColumn id="23" xr3:uid="{AC6D3962-4661-407A-93AE-3781DE37E9BF}" name="AJUDA DE CUSTO" dataDxfId="75"/>
    <tableColumn id="15" xr3:uid="{541F6BFF-C99E-4489-9963-38CEB849F489}" name="VALOR ATUAL" dataDxfId="74">
      <calculatedColumnFormula>SUM(Tabela2[[#This Row],[VALOR DO SERVIÇO CONTRATADO]]+Tabela2[[#This Row],[VALOR]]+Tabela2[[#This Row],[VALOR2]]+Tabela2[[#This Row],[AJUDA DE CUSTO]])+Tabela2[[#This Row],[VALOR3]]</calculatedColumnFormula>
    </tableColumn>
    <tableColumn id="24" xr3:uid="{D7EF6FFE-9F8F-409E-9C65-7B6E6EF17DD9}" name="EMISSÃO DE NF" dataDxfId="73"/>
    <tableColumn id="21" xr3:uid="{C9F736F9-4B3F-483B-8797-B7EE96966A9B}" name="DIA DA SOLICITAÇÃO DA NF" dataDxfId="72"/>
    <tableColumn id="25" xr3:uid="{878DDD20-9712-4F03-A02D-E56F8699D3EF}" name="OBS  (Sempre na ultima semana que anteceder o PG, confirmar com o Iago se tem alguém fazendo o suporte para incluir na NF) " dataDxfId="71"/>
    <tableColumn id="16" xr3:uid="{4744E495-C5BF-4FF1-A51E-F13EB9B9E825}" name="DEPARTAMENTO" dataDxfId="70"/>
    <tableColumn id="17" xr3:uid="{DD6331F5-F232-4DE1-9D39-D9FF65F69EAB}" name="TIPO DE SERVIÇO" dataDxfId="69"/>
    <tableColumn id="18" xr3:uid="{DF6F8358-D62B-460D-877F-4018B7DF6701}" name="COMISSIONADO (Todos que tiverem comissão verificar com a Michelle)" dataDxfId="68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12FCD6-DA24-4A95-8C79-B258ED3C82EA}" name="Tabela22" displayName="Tabela22" ref="C5:AI171" totalsRowShown="0" headerRowDxfId="67" headerRowBorderDxfId="65" tableBorderDxfId="66" totalsRowBorderDxfId="64" dataCellStyle="Normal">
  <autoFilter ref="C5:AI171" xr:uid="{7D12FCD6-DA24-4A95-8C79-B258ED3C82EA}">
    <filterColumn colId="0">
      <filters>
        <filter val="Bruna Ortiz Saadi"/>
      </filters>
    </filterColumn>
  </autoFilter>
  <tableColumns count="33">
    <tableColumn id="1" xr3:uid="{85B32172-C6A6-4172-A264-44E62FF315C4}" name="NOME" dataDxfId="63" dataCellStyle="Normal"/>
    <tableColumn id="19" xr3:uid="{7F4CE45A-316F-4B93-B96D-109AA9F74003}" name="CONTRATANTE" dataDxfId="62" dataCellStyle="Normal"/>
    <tableColumn id="24" xr3:uid="{9F87FC48-EAC6-4552-8F3D-7830DEC5EE50}" name="STATUS" dataDxfId="61"/>
    <tableColumn id="2" xr3:uid="{3BD69767-825D-4EAE-A08C-251121AAA5B8}" name="DATA DE ADMISSÃO" dataDxfId="60" dataCellStyle="Normal"/>
    <tableColumn id="6" xr3:uid="{DE6E40B6-85F7-4CEC-9FC4-B5FB1554FBCE}" name="DATA DE DEMISSÃO" dataDxfId="59"/>
    <tableColumn id="3" xr3:uid="{E3965718-4E60-4FB6-A9AC-D1CBD50120AF}" name="TELEFONE PESSOAL" dataDxfId="58" dataCellStyle="Normal"/>
    <tableColumn id="26" xr3:uid="{6B14604C-5B7F-413D-8B75-67AE30566F1D}" name="RAMAL" dataDxfId="57"/>
    <tableColumn id="25" xr3:uid="{C2B9686E-C4DD-42F1-9F24-EED344BBECB8}" name="GÊNERO" dataDxfId="56"/>
    <tableColumn id="5" xr3:uid="{7C071BF4-6D84-460E-AE39-1B6D47A34E89}" name="E-MAIL2" dataDxfId="55" dataCellStyle="Normal"/>
    <tableColumn id="29" xr3:uid="{1ABA2804-A3CA-440E-8833-92C01C556ACF}" name="E-MAIL AGIL" dataDxfId="54"/>
    <tableColumn id="8" xr3:uid="{EEE73979-FF55-47B7-B0D0-6E7C3674D2AC}" name="ENDEREÇO" dataDxfId="53" dataCellStyle="Normal"/>
    <tableColumn id="9" xr3:uid="{00C1E140-DF26-4445-9DEA-A072CD0A3A98}" name="DATA DE NASCIMENTO" dataDxfId="52" dataCellStyle="Normal"/>
    <tableColumn id="7" xr3:uid="{C7A919B4-B06D-4151-BC4D-A12E68539DE3}" name="RG" dataDxfId="51"/>
    <tableColumn id="21" xr3:uid="{D76B4FC5-CE4B-479F-B2E9-572034586C21}" name="CPF" dataDxfId="50"/>
    <tableColumn id="10" xr3:uid="{6F567BC6-4D38-4B23-9B18-7BA37CF112BE}" name="DADOS BANCÁRIOS" dataDxfId="49" dataCellStyle="Normal"/>
    <tableColumn id="12" xr3:uid="{5E4D5C4E-02F0-44DA-9EBD-C8A249032F11}" name="PENÚLTIMO SALÁRIO" dataDxfId="48" dataCellStyle="Normal"/>
    <tableColumn id="13" xr3:uid="{F2A1800B-5A49-477B-BA88-13FD3F60AFAD}" name="ÚLTIMO SALÁRIO" dataDxfId="47" dataCellStyle="Normal"/>
    <tableColumn id="20" xr3:uid="{E9E22838-028B-4A5E-9680-EAF8DDC6216D}" name="SALÁRIO ATUAL" dataDxfId="46" dataCellStyle="Normal"/>
    <tableColumn id="14" xr3:uid="{841DC148-A2CB-444A-AC7A-1FD17BA9454B}" name="AUMENTO ESPONTÂNEO" dataDxfId="45" dataCellStyle="Normal">
      <calculatedColumnFormula>SUM(Tabela22[[#This Row],[PENÚLTIMO SALÁRIO]]+Tabela22[[#This Row],[ÚLTIMO SALÁRIO]]+Tabela22[[#This Row],[SALÁRIO ATUAL]])</calculatedColumnFormula>
    </tableColumn>
    <tableColumn id="32" xr3:uid="{BEAFD9F2-BDA6-4A90-AE27-036830DE9359}" name="DATA" dataDxfId="44"/>
    <tableColumn id="28" xr3:uid="{65FF64E9-B58B-478C-874A-A758D2F1ECB6}" name="Aumento espontãneo 2" dataDxfId="43"/>
    <tableColumn id="34" xr3:uid="{010AB8FD-5C6E-42B3-8A72-EEDD5C1BC892}" name="data aum. Esp. 2" dataDxfId="42"/>
    <tableColumn id="27" xr3:uid="{9F7B509E-781A-4607-BBD3-7F67CFDBAA0F}" name="PROMOÇÃO " dataDxfId="41"/>
    <tableColumn id="33" xr3:uid="{E43DD9DA-8B4E-4E18-AD7C-DE9C8BD046B8}" name="Dissídio 2025 5,20%" dataDxfId="40"/>
    <tableColumn id="30" xr3:uid="{6676BEDA-7D54-4012-A7B9-744E19CA84F4}" name="Dissídio 2026 4,10%" dataDxfId="39">
      <calculatedColumnFormula>Tabela22[[#This Row],[ÚLTIMO SALÁRIO]]*4.1%</calculatedColumnFormula>
    </tableColumn>
    <tableColumn id="11" xr3:uid="{8D2ED5E1-DC07-44C4-ACE0-B53DCFEE48A6}" name="COMPLEMENTO SALARIAL" dataDxfId="38"/>
    <tableColumn id="22" xr3:uid="{A9BAC963-9ED1-4563-BE22-B619B5326C74}" name="AUXÍLIO EDUCAÇÃO" dataDxfId="37"/>
    <tableColumn id="15" xr3:uid="{4A1AAD6B-4877-4728-B230-3B6FB17FAF5C}" name="AJUDA DE CUSTO" dataDxfId="36"/>
    <tableColumn id="23" xr3:uid="{38D57FF4-8690-4EFB-A7BF-4AB62FB00DA7}" name="TOTAL SALÁRIO ATUAL" dataDxfId="35" dataCellStyle="Normal">
      <calculatedColumnFormula>Tabela22[[#This Row],[SALÁRIO ATUAL]]+Tabela22[[#This Row],[COMPLEMENTO SALARIAL]]+Tabela22[[#This Row],[AJUDA DE CUSTO]]</calculatedColumnFormula>
    </tableColumn>
    <tableColumn id="16" xr3:uid="{06CF6882-F4A6-4112-9E8B-3866F860FA84}" name="DEPARTAMENTO CENTRO DE CUSTO" dataDxfId="34" dataCellStyle="Normal"/>
    <tableColumn id="17" xr3:uid="{05F4C5F8-9213-452D-BE04-C882BFCE844D}" name="CARGO/FUNÇÃO" dataDxfId="33" dataCellStyle="Normal"/>
    <tableColumn id="4" xr3:uid="{D60E946F-467C-4CD4-9E11-FB3A34AE1FE2}" name="OBSERVAÇÃO" dataDxfId="32"/>
    <tableColumn id="18" xr3:uid="{9218726F-00B6-4A39-8B48-3F623BFAC080}" name="COMISSIONADO" dataDxfId="31" dataCellStyle="Normal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0AEC5B-CF0E-4260-8A4E-03BC05CA6A80}" name="Tabela224" displayName="Tabela224" ref="C5:AC168" totalsRowShown="0" headerRowDxfId="30" headerRowBorderDxfId="28" tableBorderDxfId="29" totalsRowBorderDxfId="27" dataCellStyle="Normal">
  <autoFilter ref="C5:AC168" xr:uid="{C00AEC5B-CF0E-4260-8A4E-03BC05CA6A80}"/>
  <tableColumns count="27">
    <tableColumn id="1" xr3:uid="{AAC4D75D-DD93-4F74-8B77-9C0D5AC4C932}" name="NOME" dataDxfId="26" dataCellStyle="Normal"/>
    <tableColumn id="19" xr3:uid="{BC2D0028-047E-4074-9BEC-F2110601CF18}" name="CONTRATANTE" dataDxfId="25" dataCellStyle="Normal"/>
    <tableColumn id="24" xr3:uid="{60D3F674-8956-467B-9B3C-2C58041E9876}" name="STATUS" dataDxfId="24"/>
    <tableColumn id="2" xr3:uid="{F577FE52-C2A5-4621-B874-6BD840E0DB00}" name="DATA DE ADMISSÃO" dataDxfId="23" dataCellStyle="Normal"/>
    <tableColumn id="6" xr3:uid="{F4623202-B1BF-46D8-B7BB-FA5DD54C80D9}" name="DATA DE DEMISSÃO" dataDxfId="22"/>
    <tableColumn id="3" xr3:uid="{631D64F0-350C-493C-BDE3-75AA4338CB62}" name="TELEFONE PESSOAL" dataDxfId="21" dataCellStyle="Normal"/>
    <tableColumn id="26" xr3:uid="{F96CD4BA-604F-4317-B033-55F28F904BC8}" name="RAMAL" dataDxfId="20"/>
    <tableColumn id="25" xr3:uid="{8E0B7692-AE94-44A1-B834-3FFF0F20F373}" name="GÊNERO" dataDxfId="19"/>
    <tableColumn id="5" xr3:uid="{58EDE402-EA4E-4695-A11A-0EBFD5AAA95A}" name="E-MAIL2" dataDxfId="18" dataCellStyle="Normal"/>
    <tableColumn id="29" xr3:uid="{98880716-D368-4CC9-9D8E-B74A26B5AD52}" name="E-MAIL AGIL" dataDxfId="17"/>
    <tableColumn id="8" xr3:uid="{8C52BDA9-52BB-45C7-9763-99190BEA7863}" name="ENDEREÇO" dataDxfId="16" dataCellStyle="Normal"/>
    <tableColumn id="9" xr3:uid="{D3D17C75-355E-45E0-9643-6E0FC739460B}" name="DATA DE NASCIMENTO" dataDxfId="15" dataCellStyle="Normal"/>
    <tableColumn id="7" xr3:uid="{4480F8B4-E097-4DBF-9B4A-0E63A4467FC7}" name="RG" dataDxfId="14"/>
    <tableColumn id="21" xr3:uid="{B2A0B306-9CCC-4ABF-855F-339A792717C9}" name="CPF" dataDxfId="13"/>
    <tableColumn id="10" xr3:uid="{AEAC5564-26F1-4CBE-97B6-C3C70E078E79}" name="DADOS BANCÁRIOS" dataDxfId="12" dataCellStyle="Normal"/>
    <tableColumn id="12" xr3:uid="{45E5CC57-C2C3-4C8F-8B03-8A730BD251E4}" name="PENÚLTIMO SALÁRIO" dataDxfId="11" dataCellStyle="Normal"/>
    <tableColumn id="13" xr3:uid="{DBC98CD7-1CFC-492B-BA6B-1CBE35CF9F29}" name="ÚLTIMO SALÁRIO" dataDxfId="10" dataCellStyle="Normal"/>
    <tableColumn id="20" xr3:uid="{5848F3E5-7931-44B0-80A0-2161D565B028}" name="SALÁRIO ATUAL" dataDxfId="9" dataCellStyle="Normal"/>
    <tableColumn id="14" xr3:uid="{B205AA4A-0C0C-43E2-A8BB-95A4EE16768C}" name="AUMENTO ESPONTÂNEO" dataDxfId="8" dataCellStyle="Normal">
      <calculatedColumnFormula>SUM(Tabela224[[#This Row],[PENÚLTIMO SALÁRIO]]+Tabela224[[#This Row],[ÚLTIMO SALÁRIO]]+Tabela224[[#This Row],[SALÁRIO ATUAL]])</calculatedColumnFormula>
    </tableColumn>
    <tableColumn id="22" xr3:uid="{47850024-CFA0-456F-8462-5DE74CCFC3A4}" name="DATA" dataDxfId="7" dataCellStyle="Normal"/>
    <tableColumn id="11" xr3:uid="{5D9297CA-F3F7-4119-AE47-EF8658338739}" name="COMPLEMENTO SALARIAL" dataDxfId="6"/>
    <tableColumn id="15" xr3:uid="{AD0C3BF3-8D43-4ECA-9FA0-0245CECA0D44}" name="AJUDA DE CUSTO" dataDxfId="5"/>
    <tableColumn id="23" xr3:uid="{35AE79B5-7C57-4F9D-994D-11D59EEAD0C4}" name="TOTAL SALÁRIO ATUAL" dataDxfId="4" dataCellStyle="Normal">
      <calculatedColumnFormula>SUM(Tabela224[[#This Row],[SALÁRIO ATUAL]]+Tabela224[[#This Row],[AUMENTO ESPONTÂNEO]]+Tabela224[[#This Row],[COMPLEMENTO SALARIAL]])</calculatedColumnFormula>
    </tableColumn>
    <tableColumn id="16" xr3:uid="{BFB5ED43-5E3B-457F-A757-46DF6E0D9DED}" name="DEPARTAMENTO" dataDxfId="3" dataCellStyle="Normal"/>
    <tableColumn id="17" xr3:uid="{58819449-504C-40CA-9152-A4414AB97506}" name="CARGO/FUNÇÃO" dataDxfId="2" dataCellStyle="Normal"/>
    <tableColumn id="4" xr3:uid="{75304581-CADE-40AE-BD42-3859128563B4}" name="OBSERVAÇÃO" dataDxfId="1"/>
    <tableColumn id="18" xr3:uid="{3185302A-4086-4779-BBA4-34FB224EFAB4}" name="COMISSIONADO" dataDxfId="0" dataCellStyle="Normal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velyn.moraes@agiltelecom.com.br" TargetMode="External"/><Relationship Id="rId21" Type="http://schemas.openxmlformats.org/officeDocument/2006/relationships/hyperlink" Target="mailto:mauricio.eloi@agiltelecom.com.br" TargetMode="External"/><Relationship Id="rId34" Type="http://schemas.openxmlformats.org/officeDocument/2006/relationships/hyperlink" Target="mailto:matigela@gmail.com" TargetMode="External"/><Relationship Id="rId42" Type="http://schemas.openxmlformats.org/officeDocument/2006/relationships/hyperlink" Target="mailto:Jacquelineslima98@gmail.com" TargetMode="External"/><Relationship Id="rId47" Type="http://schemas.openxmlformats.org/officeDocument/2006/relationships/hyperlink" Target="mailto:geraldodinizjr@gmail.com" TargetMode="External"/><Relationship Id="rId50" Type="http://schemas.openxmlformats.org/officeDocument/2006/relationships/hyperlink" Target="mailto:barbara.servigne@gmail.com" TargetMode="External"/><Relationship Id="rId55" Type="http://schemas.openxmlformats.org/officeDocument/2006/relationships/hyperlink" Target="mailto:rodrigo.carmo1@outlook.com" TargetMode="External"/><Relationship Id="rId63" Type="http://schemas.openxmlformats.org/officeDocument/2006/relationships/hyperlink" Target="mailto:mtsmilla@hotmail.com" TargetMode="External"/><Relationship Id="rId68" Type="http://schemas.openxmlformats.org/officeDocument/2006/relationships/table" Target="../tables/table1.xml"/><Relationship Id="rId7" Type="http://schemas.openxmlformats.org/officeDocument/2006/relationships/hyperlink" Target="mailto:leonardo.pires@agiltelecom.com.br" TargetMode="External"/><Relationship Id="rId2" Type="http://schemas.openxmlformats.org/officeDocument/2006/relationships/hyperlink" Target="mailto:andre.almeida@agiltelecom.com.br" TargetMode="External"/><Relationship Id="rId16" Type="http://schemas.openxmlformats.org/officeDocument/2006/relationships/hyperlink" Target="mailto:pedro.melo@agiltelecom.com.br" TargetMode="External"/><Relationship Id="rId29" Type="http://schemas.openxmlformats.org/officeDocument/2006/relationships/hyperlink" Target="mailto:juliana.kawae@agiltelecom.com.br" TargetMode="External"/><Relationship Id="rId11" Type="http://schemas.openxmlformats.org/officeDocument/2006/relationships/hyperlink" Target="mailto:leonardo.martins@agiltelecom.com.br" TargetMode="External"/><Relationship Id="rId24" Type="http://schemas.openxmlformats.org/officeDocument/2006/relationships/hyperlink" Target="mailto:anderson.pereira@agiltelecom.com.br" TargetMode="External"/><Relationship Id="rId32" Type="http://schemas.openxmlformats.org/officeDocument/2006/relationships/hyperlink" Target="mailto:Marcosrogerio@agiltelecom.com.br" TargetMode="External"/><Relationship Id="rId37" Type="http://schemas.openxmlformats.org/officeDocument/2006/relationships/hyperlink" Target="mailto:andersonbless@hotmail.com" TargetMode="External"/><Relationship Id="rId40" Type="http://schemas.openxmlformats.org/officeDocument/2006/relationships/hyperlink" Target="mailto:Leandrorocconakamura@hotmail.com" TargetMode="External"/><Relationship Id="rId45" Type="http://schemas.openxmlformats.org/officeDocument/2006/relationships/hyperlink" Target="mailto:aline.costa@agiltelecom.com.br" TargetMode="External"/><Relationship Id="rId53" Type="http://schemas.openxmlformats.org/officeDocument/2006/relationships/hyperlink" Target="mailto:sca2567@gmail.com" TargetMode="External"/><Relationship Id="rId58" Type="http://schemas.openxmlformats.org/officeDocument/2006/relationships/hyperlink" Target="mailto:sergio.camargo@agiltelecom.com.br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mauriciodvl@gmail.com" TargetMode="External"/><Relationship Id="rId61" Type="http://schemas.openxmlformats.org/officeDocument/2006/relationships/hyperlink" Target="mailto:ncamilla10@gmail.com" TargetMode="External"/><Relationship Id="rId19" Type="http://schemas.openxmlformats.org/officeDocument/2006/relationships/hyperlink" Target="mailto:diego.santos@agiltelecom.com.br" TargetMode="External"/><Relationship Id="rId14" Type="http://schemas.openxmlformats.org/officeDocument/2006/relationships/hyperlink" Target="mailto:michelle.rodrigues@agiltelecom.com.br" TargetMode="External"/><Relationship Id="rId22" Type="http://schemas.openxmlformats.org/officeDocument/2006/relationships/hyperlink" Target="mailto:everson.possati@agiltelecom.com.br" TargetMode="External"/><Relationship Id="rId27" Type="http://schemas.openxmlformats.org/officeDocument/2006/relationships/hyperlink" Target="mailto:mauricio.davila@agiltelecom.com.br" TargetMode="External"/><Relationship Id="rId30" Type="http://schemas.openxmlformats.org/officeDocument/2006/relationships/hyperlink" Target="mailto:anderson.polsaque@agiltelecom.com.br" TargetMode="External"/><Relationship Id="rId35" Type="http://schemas.openxmlformats.org/officeDocument/2006/relationships/hyperlink" Target="mailto:Marcioclayton34@gmail.com" TargetMode="External"/><Relationship Id="rId43" Type="http://schemas.openxmlformats.org/officeDocument/2006/relationships/hyperlink" Target="mailto:adrijhr02@gmail.com" TargetMode="External"/><Relationship Id="rId48" Type="http://schemas.openxmlformats.org/officeDocument/2006/relationships/hyperlink" Target="mailto:Amandareginamoura@gmail.com" TargetMode="External"/><Relationship Id="rId56" Type="http://schemas.openxmlformats.org/officeDocument/2006/relationships/hyperlink" Target="mailto:rodrigo.candido@agiltelecom.com.br" TargetMode="External"/><Relationship Id="rId64" Type="http://schemas.openxmlformats.org/officeDocument/2006/relationships/hyperlink" Target="mailto:Fernando.moreno@agiltelecom.com.br" TargetMode="External"/><Relationship Id="rId8" Type="http://schemas.openxmlformats.org/officeDocument/2006/relationships/hyperlink" Target="mailto:solangebaccasamora@gmail.com" TargetMode="External"/><Relationship Id="rId51" Type="http://schemas.openxmlformats.org/officeDocument/2006/relationships/hyperlink" Target="mailto:joaokeven45@gmail.com" TargetMode="External"/><Relationship Id="rId3" Type="http://schemas.openxmlformats.org/officeDocument/2006/relationships/hyperlink" Target="mailto:Anderson.pereira@agiltelecom.com.br" TargetMode="External"/><Relationship Id="rId12" Type="http://schemas.openxmlformats.org/officeDocument/2006/relationships/hyperlink" Target="mailto:angela.munin@agiltelecom.com.br" TargetMode="External"/><Relationship Id="rId17" Type="http://schemas.openxmlformats.org/officeDocument/2006/relationships/hyperlink" Target="mailto:thiago.souza@agiltelecom.com.br" TargetMode="External"/><Relationship Id="rId25" Type="http://schemas.openxmlformats.org/officeDocument/2006/relationships/hyperlink" Target="mailto:guilherme.dantas@agiltelecom.com.br" TargetMode="External"/><Relationship Id="rId33" Type="http://schemas.openxmlformats.org/officeDocument/2006/relationships/hyperlink" Target="mailto:marcelo.ferreira@agiltelecom.com.br" TargetMode="External"/><Relationship Id="rId38" Type="http://schemas.openxmlformats.org/officeDocument/2006/relationships/hyperlink" Target="mailto:Ldconti@hotmail.com" TargetMode="External"/><Relationship Id="rId46" Type="http://schemas.openxmlformats.org/officeDocument/2006/relationships/hyperlink" Target="mailto:contato.ricardoelias@gmail.com" TargetMode="External"/><Relationship Id="rId59" Type="http://schemas.openxmlformats.org/officeDocument/2006/relationships/hyperlink" Target="mailto:claudio.bezerra@agiltelecom.com.br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mailto:iago.sarrea@agiltelecom.com.br" TargetMode="External"/><Relationship Id="rId41" Type="http://schemas.openxmlformats.org/officeDocument/2006/relationships/hyperlink" Target="mailto:felipefrancisco.tecnologia@gmail.com" TargetMode="External"/><Relationship Id="rId54" Type="http://schemas.openxmlformats.org/officeDocument/2006/relationships/hyperlink" Target="mailto:daialisboa@uol.com.br" TargetMode="External"/><Relationship Id="rId62" Type="http://schemas.openxmlformats.org/officeDocument/2006/relationships/hyperlink" Target="mailto:naando@gmail.com" TargetMode="External"/><Relationship Id="rId1" Type="http://schemas.openxmlformats.org/officeDocument/2006/relationships/hyperlink" Target="mailto:brunogiovanni.as@gmail.com" TargetMode="External"/><Relationship Id="rId6" Type="http://schemas.openxmlformats.org/officeDocument/2006/relationships/hyperlink" Target="mailto:eduardo.ziccardi@agiltelecom.com.br" TargetMode="External"/><Relationship Id="rId15" Type="http://schemas.openxmlformats.org/officeDocument/2006/relationships/hyperlink" Target="mailto:leonardo.pires@agiltelecom.com.br" TargetMode="External"/><Relationship Id="rId23" Type="http://schemas.openxmlformats.org/officeDocument/2006/relationships/hyperlink" Target="mailto:leonardo.martins@agiltelecom.com.br" TargetMode="External"/><Relationship Id="rId28" Type="http://schemas.openxmlformats.org/officeDocument/2006/relationships/hyperlink" Target="mailto:andre.almeida@agiltelecom.com.br" TargetMode="External"/><Relationship Id="rId36" Type="http://schemas.openxmlformats.org/officeDocument/2006/relationships/hyperlink" Target="mailto:orlandovrsalles@yahoo.com.br" TargetMode="External"/><Relationship Id="rId49" Type="http://schemas.openxmlformats.org/officeDocument/2006/relationships/hyperlink" Target="mailto:danilopvp@gmail.com" TargetMode="External"/><Relationship Id="rId57" Type="http://schemas.openxmlformats.org/officeDocument/2006/relationships/hyperlink" Target="mailto:daiane.lisboa@agiltelecom.com.br" TargetMode="External"/><Relationship Id="rId10" Type="http://schemas.openxmlformats.org/officeDocument/2006/relationships/hyperlink" Target="mailto:evelyn.moraes1210@gmail.com" TargetMode="External"/><Relationship Id="rId31" Type="http://schemas.openxmlformats.org/officeDocument/2006/relationships/hyperlink" Target="mailto:marcosrogerio520@hotmail.com" TargetMode="External"/><Relationship Id="rId44" Type="http://schemas.openxmlformats.org/officeDocument/2006/relationships/hyperlink" Target="mailto:marcela.campos@agiltelecom.com.br" TargetMode="External"/><Relationship Id="rId52" Type="http://schemas.openxmlformats.org/officeDocument/2006/relationships/hyperlink" Target="mailto:marcelo.lopes301630@gmail.com" TargetMode="External"/><Relationship Id="rId60" Type="http://schemas.openxmlformats.org/officeDocument/2006/relationships/hyperlink" Target="mailto:Claudiomanuelbezerra@gmail.com" TargetMode="External"/><Relationship Id="rId65" Type="http://schemas.openxmlformats.org/officeDocument/2006/relationships/hyperlink" Target="mailto:marcio.silva@agiltelecom.com.br" TargetMode="External"/><Relationship Id="rId4" Type="http://schemas.openxmlformats.org/officeDocument/2006/relationships/hyperlink" Target="mailto:carvalhotr1963@gmail.com" TargetMode="External"/><Relationship Id="rId9" Type="http://schemas.openxmlformats.org/officeDocument/2006/relationships/hyperlink" Target="mailto:mauricio.eloi@agiltelecom.com.br" TargetMode="External"/><Relationship Id="rId13" Type="http://schemas.openxmlformats.org/officeDocument/2006/relationships/hyperlink" Target="mailto:eduardo.ziccardi@agiltelecom.com.br" TargetMode="External"/><Relationship Id="rId18" Type="http://schemas.openxmlformats.org/officeDocument/2006/relationships/hyperlink" Target="mailto:camila.ziccardi@agiltelecom.com.br" TargetMode="External"/><Relationship Id="rId39" Type="http://schemas.openxmlformats.org/officeDocument/2006/relationships/hyperlink" Target="mailto:YURISEIXASBESSA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osiane.silva@agiltelecom.com.br" TargetMode="External"/><Relationship Id="rId18" Type="http://schemas.openxmlformats.org/officeDocument/2006/relationships/hyperlink" Target="mailto:joao.lima@agiltelecom.com.br" TargetMode="External"/><Relationship Id="rId26" Type="http://schemas.openxmlformats.org/officeDocument/2006/relationships/hyperlink" Target="mailto:vitoriacarolinehpj1980@gmail.com" TargetMode="External"/><Relationship Id="rId39" Type="http://schemas.openxmlformats.org/officeDocument/2006/relationships/printerSettings" Target="../printerSettings/printerSettings2.bin"/><Relationship Id="rId21" Type="http://schemas.openxmlformats.org/officeDocument/2006/relationships/hyperlink" Target="mailto:andre.oliveira@agiltelecom.com.br" TargetMode="External"/><Relationship Id="rId34" Type="http://schemas.openxmlformats.org/officeDocument/2006/relationships/hyperlink" Target="mailto:sumaia202666@gmail.com" TargetMode="External"/><Relationship Id="rId42" Type="http://schemas.openxmlformats.org/officeDocument/2006/relationships/table" Target="../tables/table2.xml"/><Relationship Id="rId7" Type="http://schemas.openxmlformats.org/officeDocument/2006/relationships/hyperlink" Target="mailto:danilo.oliveira@agiltelecom.com.br" TargetMode="External"/><Relationship Id="rId2" Type="http://schemas.openxmlformats.org/officeDocument/2006/relationships/hyperlink" Target="mailto:simone23es@hotmail.com" TargetMode="External"/><Relationship Id="rId16" Type="http://schemas.openxmlformats.org/officeDocument/2006/relationships/hyperlink" Target="mailto:rafael.pellegrino@agiltelecom.com.br" TargetMode="External"/><Relationship Id="rId20" Type="http://schemas.openxmlformats.org/officeDocument/2006/relationships/hyperlink" Target="mailto:elizabeth.carneiro@agiltelecom.com.br" TargetMode="External"/><Relationship Id="rId29" Type="http://schemas.openxmlformats.org/officeDocument/2006/relationships/hyperlink" Target="mailto:tinasantos6591@gmail.com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mailto:oandrelucas94@gmail.com" TargetMode="External"/><Relationship Id="rId6" Type="http://schemas.openxmlformats.org/officeDocument/2006/relationships/hyperlink" Target="mailto:lima_thamirys@hotmail.com" TargetMode="External"/><Relationship Id="rId11" Type="http://schemas.openxmlformats.org/officeDocument/2006/relationships/hyperlink" Target="mailto:alessandro.alves@agiltelecom.com.br" TargetMode="External"/><Relationship Id="rId24" Type="http://schemas.openxmlformats.org/officeDocument/2006/relationships/hyperlink" Target="mailto:eglin.tamiresferreira@gmail.com" TargetMode="External"/><Relationship Id="rId32" Type="http://schemas.openxmlformats.org/officeDocument/2006/relationships/hyperlink" Target="mailto:taylorketelyn@gmail.com" TargetMode="External"/><Relationship Id="rId37" Type="http://schemas.openxmlformats.org/officeDocument/2006/relationships/hyperlink" Target="mailto:ana.marini@agiltelecom.com.br" TargetMode="External"/><Relationship Id="rId40" Type="http://schemas.openxmlformats.org/officeDocument/2006/relationships/drawing" Target="../drawings/drawing2.xml"/><Relationship Id="rId5" Type="http://schemas.openxmlformats.org/officeDocument/2006/relationships/hyperlink" Target="mailto:kayky8000@gmail.com" TargetMode="External"/><Relationship Id="rId15" Type="http://schemas.openxmlformats.org/officeDocument/2006/relationships/hyperlink" Target="mailto:marina.oliveira@agiltelecom.com.br" TargetMode="External"/><Relationship Id="rId23" Type="http://schemas.openxmlformats.org/officeDocument/2006/relationships/hyperlink" Target="mailto:souzalb.sp@hotmail.com" TargetMode="External"/><Relationship Id="rId28" Type="http://schemas.openxmlformats.org/officeDocument/2006/relationships/hyperlink" Target="mailto:allynevan@gmail.com" TargetMode="External"/><Relationship Id="rId36" Type="http://schemas.openxmlformats.org/officeDocument/2006/relationships/hyperlink" Target="mailto:Carolineanaa874@gmail.com" TargetMode="External"/><Relationship Id="rId10" Type="http://schemas.openxmlformats.org/officeDocument/2006/relationships/hyperlink" Target="mailto:maria.hubler@agiltelecom.com.br" TargetMode="External"/><Relationship Id="rId19" Type="http://schemas.openxmlformats.org/officeDocument/2006/relationships/hyperlink" Target="mailto:kayky.chimatti@agiltelecom.com.br" TargetMode="External"/><Relationship Id="rId31" Type="http://schemas.openxmlformats.org/officeDocument/2006/relationships/hyperlink" Target="mailto:joaokeven45@gmail.com" TargetMode="External"/><Relationship Id="rId4" Type="http://schemas.openxmlformats.org/officeDocument/2006/relationships/hyperlink" Target="mailto:leonardo.martins@agiltelecom.com.br" TargetMode="External"/><Relationship Id="rId9" Type="http://schemas.openxmlformats.org/officeDocument/2006/relationships/hyperlink" Target="mailto:amanda.semeros@agiltelecom.com.br" TargetMode="External"/><Relationship Id="rId14" Type="http://schemas.openxmlformats.org/officeDocument/2006/relationships/hyperlink" Target="mailto:marina.santos@agiltelecom.com.br" TargetMode="External"/><Relationship Id="rId22" Type="http://schemas.openxmlformats.org/officeDocument/2006/relationships/hyperlink" Target="mailto:prisciladasilvaperes1@gmail.com" TargetMode="External"/><Relationship Id="rId27" Type="http://schemas.openxmlformats.org/officeDocument/2006/relationships/hyperlink" Target="mailto:anaberbel.marini@gmail.com" TargetMode="External"/><Relationship Id="rId30" Type="http://schemas.openxmlformats.org/officeDocument/2006/relationships/hyperlink" Target="mailto:saoudamatheus2@gmail.com" TargetMode="External"/><Relationship Id="rId35" Type="http://schemas.openxmlformats.org/officeDocument/2006/relationships/hyperlink" Target="mailto:midiansilva889@gmail.com" TargetMode="External"/><Relationship Id="rId43" Type="http://schemas.openxmlformats.org/officeDocument/2006/relationships/comments" Target="../comments1.xml"/><Relationship Id="rId8" Type="http://schemas.openxmlformats.org/officeDocument/2006/relationships/hyperlink" Target="mailto:bruna.ortiz@agiltelecom.com.br" TargetMode="External"/><Relationship Id="rId3" Type="http://schemas.openxmlformats.org/officeDocument/2006/relationships/hyperlink" Target="mailto:josiane.silva@agiltelecom.com.br" TargetMode="External"/><Relationship Id="rId12" Type="http://schemas.openxmlformats.org/officeDocument/2006/relationships/hyperlink" Target="mailto:robert.mendonca@agiltelecom.com.br" TargetMode="External"/><Relationship Id="rId17" Type="http://schemas.openxmlformats.org/officeDocument/2006/relationships/hyperlink" Target="mailto:laura.gomes@agiltelecom.com.br" TargetMode="External"/><Relationship Id="rId25" Type="http://schemas.openxmlformats.org/officeDocument/2006/relationships/hyperlink" Target="mailto:lucianaaro9@gmail.com" TargetMode="External"/><Relationship Id="rId33" Type="http://schemas.openxmlformats.org/officeDocument/2006/relationships/hyperlink" Target="mailto:robert.mendonca.santos@gmail.com" TargetMode="External"/><Relationship Id="rId38" Type="http://schemas.openxmlformats.org/officeDocument/2006/relationships/hyperlink" Target="mailto:contatoalexfrois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FBFD-19AF-4CC1-9764-527D3574630D}">
  <sheetPr>
    <tabColor rgb="FFFFFF00"/>
  </sheetPr>
  <dimension ref="A1:ATR204"/>
  <sheetViews>
    <sheetView topLeftCell="A60" workbookViewId="0">
      <pane xSplit="2" topLeftCell="C1" activePane="topRight" state="frozen"/>
      <selection pane="topRight" activeCell="I209" sqref="I209"/>
      <selection activeCell="A6" sqref="A6"/>
    </sheetView>
  </sheetViews>
  <sheetFormatPr defaultRowHeight="15"/>
  <cols>
    <col min="1" max="1" width="4.7109375" customWidth="1"/>
    <col min="2" max="2" width="37.5703125" bestFit="1" customWidth="1"/>
    <col min="3" max="3" width="12" customWidth="1"/>
    <col min="4" max="4" width="11" customWidth="1"/>
    <col min="5" max="5" width="12.140625" customWidth="1"/>
    <col min="6" max="6" width="15.28515625" customWidth="1"/>
    <col min="7" max="7" width="12" customWidth="1"/>
    <col min="8" max="8" width="13.85546875" customWidth="1"/>
    <col min="9" max="9" width="12.5703125" customWidth="1"/>
    <col min="10" max="10" width="7.7109375" customWidth="1"/>
    <col min="11" max="11" width="38.140625" bestFit="1" customWidth="1"/>
    <col min="12" max="12" width="37.140625" customWidth="1"/>
    <col min="13" max="13" width="54.7109375" customWidth="1"/>
    <col min="14" max="14" width="18.42578125" customWidth="1"/>
    <col min="15" max="15" width="93" bestFit="1" customWidth="1"/>
    <col min="16" max="16" width="13.85546875" customWidth="1"/>
    <col min="17" max="17" width="77.5703125" customWidth="1"/>
    <col min="18" max="18" width="14.42578125" customWidth="1"/>
    <col min="19" max="19" width="18.140625" customWidth="1"/>
    <col min="20" max="20" width="15.140625" customWidth="1"/>
    <col min="21" max="21" width="12.140625" customWidth="1"/>
    <col min="22" max="22" width="13" customWidth="1"/>
    <col min="23" max="23" width="11" customWidth="1"/>
    <col min="24" max="24" width="12.85546875" customWidth="1"/>
    <col min="25" max="25" width="12" bestFit="1" customWidth="1"/>
    <col min="26" max="26" width="13.5703125" bestFit="1" customWidth="1"/>
    <col min="27" max="27" width="13.85546875" customWidth="1"/>
    <col min="28" max="29" width="12.7109375" customWidth="1"/>
    <col min="30" max="30" width="64.140625" customWidth="1"/>
    <col min="31" max="31" width="17" customWidth="1"/>
    <col min="32" max="32" width="25" bestFit="1" customWidth="1"/>
    <col min="33" max="33" width="20.5703125" customWidth="1"/>
  </cols>
  <sheetData>
    <row r="1" spans="1:33" ht="14.45" customHeight="1">
      <c r="A1" s="223" t="s">
        <v>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  <c r="AD1" s="223"/>
      <c r="AE1" s="223"/>
      <c r="AF1" s="223"/>
      <c r="AG1" s="223"/>
    </row>
    <row r="2" spans="1:33" ht="14.4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</row>
    <row r="3" spans="1:33" ht="14.45" customHeight="1">
      <c r="A3" s="223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</row>
    <row r="4" spans="1:33" ht="22.5" customHeight="1">
      <c r="A4" s="223"/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</row>
    <row r="5" spans="1:33" ht="60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3" t="s">
        <v>16</v>
      </c>
      <c r="Q5" s="4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  <c r="AA5" s="3" t="s">
        <v>27</v>
      </c>
      <c r="AB5" s="3" t="s">
        <v>28</v>
      </c>
      <c r="AC5" s="3" t="s">
        <v>29</v>
      </c>
      <c r="AD5" s="98" t="s">
        <v>30</v>
      </c>
      <c r="AE5" s="3" t="s">
        <v>31</v>
      </c>
      <c r="AF5" s="3" t="s">
        <v>32</v>
      </c>
      <c r="AG5" s="5" t="s">
        <v>33</v>
      </c>
    </row>
    <row r="6" spans="1:33" s="67" customFormat="1" ht="15.95" hidden="1" customHeight="1">
      <c r="A6" s="53">
        <v>1</v>
      </c>
      <c r="B6" s="54" t="s">
        <v>34</v>
      </c>
      <c r="C6" s="55" t="s">
        <v>35</v>
      </c>
      <c r="D6" s="55" t="s">
        <v>36</v>
      </c>
      <c r="E6" s="55" t="s">
        <v>37</v>
      </c>
      <c r="F6" s="56">
        <v>45518</v>
      </c>
      <c r="G6" s="56">
        <v>45572</v>
      </c>
      <c r="H6" s="57" t="s">
        <v>38</v>
      </c>
      <c r="I6" s="58" t="s">
        <v>39</v>
      </c>
      <c r="J6" s="58"/>
      <c r="K6" s="78"/>
      <c r="L6" s="58" t="s">
        <v>40</v>
      </c>
      <c r="M6" s="58" t="s">
        <v>41</v>
      </c>
      <c r="N6" s="58" t="s">
        <v>42</v>
      </c>
      <c r="O6" s="58" t="s">
        <v>43</v>
      </c>
      <c r="P6" s="56">
        <v>28334</v>
      </c>
      <c r="Q6" s="56" t="s">
        <v>44</v>
      </c>
      <c r="R6" s="56" t="s">
        <v>45</v>
      </c>
      <c r="S6" s="59">
        <v>5000</v>
      </c>
      <c r="T6" s="60"/>
      <c r="U6" s="61"/>
      <c r="V6" s="60"/>
      <c r="W6" s="60"/>
      <c r="X6" s="60"/>
      <c r="Y6" s="60"/>
      <c r="Z6" s="60"/>
      <c r="AA6" s="62">
        <f>SUM(Tabela2[[#This Row],[VALOR DO SERVIÇO CONTRATADO]]+Tabela2[[#This Row],[VALOR]]+Tabela2[[#This Row],[VALOR2]]+Tabela2[[#This Row],[AJUDA DE CUSTO]])+Tabela2[[#This Row],[VALOR3]]</f>
        <v>5000</v>
      </c>
      <c r="AB6" s="60" t="s">
        <v>46</v>
      </c>
      <c r="AC6" s="58">
        <v>12</v>
      </c>
      <c r="AD6" s="58"/>
      <c r="AE6" s="60" t="s">
        <v>47</v>
      </c>
      <c r="AF6" s="58" t="s">
        <v>48</v>
      </c>
      <c r="AG6" s="63" t="s">
        <v>46</v>
      </c>
    </row>
    <row r="7" spans="1:33" s="67" customFormat="1" ht="21" hidden="1" customHeight="1">
      <c r="A7" s="53">
        <v>2</v>
      </c>
      <c r="B7" s="55" t="s">
        <v>49</v>
      </c>
      <c r="C7" s="55" t="s">
        <v>35</v>
      </c>
      <c r="D7" s="55" t="s">
        <v>36</v>
      </c>
      <c r="E7" s="55" t="s">
        <v>37</v>
      </c>
      <c r="F7" s="56">
        <v>45532</v>
      </c>
      <c r="G7" s="56">
        <v>45590</v>
      </c>
      <c r="H7" s="57" t="s">
        <v>50</v>
      </c>
      <c r="I7" s="58" t="s">
        <v>51</v>
      </c>
      <c r="J7" s="58"/>
      <c r="K7" s="78"/>
      <c r="L7" s="58" t="s">
        <v>52</v>
      </c>
      <c r="M7" s="58" t="s">
        <v>53</v>
      </c>
      <c r="N7" s="58" t="s">
        <v>54</v>
      </c>
      <c r="O7" s="58" t="s">
        <v>55</v>
      </c>
      <c r="P7" s="56">
        <v>32848</v>
      </c>
      <c r="Q7" s="56" t="s">
        <v>56</v>
      </c>
      <c r="R7" s="58" t="s">
        <v>45</v>
      </c>
      <c r="S7" s="59">
        <v>10000</v>
      </c>
      <c r="T7" s="60"/>
      <c r="U7" s="61"/>
      <c r="V7" s="60"/>
      <c r="W7" s="60"/>
      <c r="X7" s="60"/>
      <c r="Y7" s="60"/>
      <c r="Z7" s="60"/>
      <c r="AA7" s="62">
        <f>SUM(Tabela2[[#This Row],[VALOR DO SERVIÇO CONTRATADO]]+Tabela2[[#This Row],[VALOR]]+Tabela2[[#This Row],[VALOR2]]+Tabela2[[#This Row],[AJUDA DE CUSTO]])+Tabela2[[#This Row],[VALOR3]]</f>
        <v>10000</v>
      </c>
      <c r="AB7" s="60" t="s">
        <v>46</v>
      </c>
      <c r="AC7" s="58">
        <v>12</v>
      </c>
      <c r="AD7" s="58"/>
      <c r="AE7" s="60" t="s">
        <v>47</v>
      </c>
      <c r="AF7" s="58" t="s">
        <v>48</v>
      </c>
      <c r="AG7" s="63" t="s">
        <v>46</v>
      </c>
    </row>
    <row r="8" spans="1:33" s="67" customFormat="1" ht="15.6" hidden="1" customHeight="1">
      <c r="A8" s="53">
        <v>3</v>
      </c>
      <c r="B8" s="55" t="s">
        <v>57</v>
      </c>
      <c r="C8" s="55" t="s">
        <v>35</v>
      </c>
      <c r="D8" s="55" t="s">
        <v>36</v>
      </c>
      <c r="E8" s="55" t="s">
        <v>58</v>
      </c>
      <c r="F8" s="56">
        <v>45537</v>
      </c>
      <c r="G8" s="56">
        <v>45553</v>
      </c>
      <c r="H8" s="57" t="s">
        <v>59</v>
      </c>
      <c r="I8" s="58" t="s">
        <v>60</v>
      </c>
      <c r="J8" s="58"/>
      <c r="K8" s="78"/>
      <c r="L8" s="65" t="s">
        <v>61</v>
      </c>
      <c r="M8" s="58" t="s">
        <v>62</v>
      </c>
      <c r="N8" s="58" t="s">
        <v>63</v>
      </c>
      <c r="O8" s="58" t="s">
        <v>64</v>
      </c>
      <c r="P8" s="66">
        <v>38050</v>
      </c>
      <c r="Q8" s="58" t="s">
        <v>65</v>
      </c>
      <c r="R8" s="58" t="s">
        <v>45</v>
      </c>
      <c r="S8" s="59">
        <v>3000</v>
      </c>
      <c r="T8" s="60"/>
      <c r="U8" s="61"/>
      <c r="V8" s="60"/>
      <c r="W8" s="60"/>
      <c r="X8" s="60"/>
      <c r="Y8" s="60"/>
      <c r="Z8" s="60"/>
      <c r="AA8" s="62">
        <f>SUM(Tabela2[[#This Row],[VALOR DO SERVIÇO CONTRATADO]]+Tabela2[[#This Row],[VALOR]]+Tabela2[[#This Row],[VALOR2]]+Tabela2[[#This Row],[AJUDA DE CUSTO]])+Tabela2[[#This Row],[VALOR3]]</f>
        <v>3000</v>
      </c>
      <c r="AB8" s="60" t="s">
        <v>46</v>
      </c>
      <c r="AC8" s="58">
        <v>12</v>
      </c>
      <c r="AD8" s="58"/>
      <c r="AE8" s="60" t="s">
        <v>47</v>
      </c>
      <c r="AF8" s="58" t="s">
        <v>66</v>
      </c>
      <c r="AG8" s="63" t="s">
        <v>67</v>
      </c>
    </row>
    <row r="9" spans="1:33">
      <c r="A9" s="11">
        <v>4</v>
      </c>
      <c r="B9" s="12" t="s">
        <v>68</v>
      </c>
      <c r="C9" s="12" t="s">
        <v>35</v>
      </c>
      <c r="D9" s="12" t="s">
        <v>69</v>
      </c>
      <c r="E9" s="13" t="s">
        <v>37</v>
      </c>
      <c r="F9" s="14">
        <v>42016</v>
      </c>
      <c r="G9" s="14"/>
      <c r="H9" s="15" t="s">
        <v>70</v>
      </c>
      <c r="I9" s="16"/>
      <c r="J9" s="16">
        <v>1009</v>
      </c>
      <c r="K9" s="79" t="s">
        <v>71</v>
      </c>
      <c r="L9" s="16" t="s">
        <v>71</v>
      </c>
      <c r="M9" s="16"/>
      <c r="N9" s="16"/>
      <c r="O9" s="16"/>
      <c r="P9" s="14">
        <v>24368</v>
      </c>
      <c r="Q9" s="16"/>
      <c r="R9" s="16" t="s">
        <v>45</v>
      </c>
      <c r="S9" s="18">
        <v>5000</v>
      </c>
      <c r="T9" s="14">
        <v>44901</v>
      </c>
      <c r="U9" s="19">
        <v>1000</v>
      </c>
      <c r="V9" s="20">
        <v>45546</v>
      </c>
      <c r="W9" s="19">
        <v>600</v>
      </c>
      <c r="X9" s="20">
        <v>45904</v>
      </c>
      <c r="Y9" s="19">
        <v>400</v>
      </c>
      <c r="Z9" s="19"/>
      <c r="AA9" s="21">
        <f>SUM(Tabela2[[#This Row],[VALOR DO SERVIÇO CONTRATADO]]+Tabela2[[#This Row],[VALOR]]+Tabela2[[#This Row],[VALOR2]]+Tabela2[[#This Row],[AJUDA DE CUSTO]])+Tabela2[[#This Row],[VALOR3]]</f>
        <v>7000</v>
      </c>
      <c r="AB9" s="22" t="s">
        <v>46</v>
      </c>
      <c r="AC9" s="23">
        <v>5</v>
      </c>
      <c r="AD9" s="24" t="s">
        <v>72</v>
      </c>
      <c r="AE9" s="16" t="s">
        <v>73</v>
      </c>
      <c r="AF9" s="16" t="s">
        <v>74</v>
      </c>
      <c r="AG9" s="25" t="s">
        <v>75</v>
      </c>
    </row>
    <row r="10" spans="1:33">
      <c r="A10" s="11">
        <v>5</v>
      </c>
      <c r="B10" s="12" t="s">
        <v>76</v>
      </c>
      <c r="C10" s="12" t="s">
        <v>35</v>
      </c>
      <c r="D10" s="12" t="s">
        <v>69</v>
      </c>
      <c r="E10" s="13" t="s">
        <v>58</v>
      </c>
      <c r="F10" s="14">
        <v>43799</v>
      </c>
      <c r="G10" s="14"/>
      <c r="H10" s="15" t="s">
        <v>77</v>
      </c>
      <c r="I10" s="16"/>
      <c r="J10" s="16">
        <v>1005</v>
      </c>
      <c r="K10" s="79" t="s">
        <v>78</v>
      </c>
      <c r="L10" s="16" t="s">
        <v>78</v>
      </c>
      <c r="M10" s="16"/>
      <c r="N10" s="16"/>
      <c r="O10" s="16"/>
      <c r="P10" s="16"/>
      <c r="Q10" s="16"/>
      <c r="R10" s="16" t="s">
        <v>45</v>
      </c>
      <c r="S10" s="19">
        <v>10000</v>
      </c>
      <c r="T10" s="14">
        <v>45412</v>
      </c>
      <c r="U10" s="19">
        <v>2000</v>
      </c>
      <c r="V10" s="19"/>
      <c r="W10" s="19"/>
      <c r="X10" s="19"/>
      <c r="Y10" s="19"/>
      <c r="Z10" s="19"/>
      <c r="AA10" s="21">
        <f>SUM(Tabela2[[#This Row],[VALOR DO SERVIÇO CONTRATADO]]+Tabela2[[#This Row],[VALOR]]+Tabela2[[#This Row],[VALOR2]]+Tabela2[[#This Row],[AJUDA DE CUSTO]])+Tabela2[[#This Row],[VALOR3]]</f>
        <v>12000</v>
      </c>
      <c r="AB10" s="22" t="s">
        <v>46</v>
      </c>
      <c r="AC10" s="23">
        <v>27</v>
      </c>
      <c r="AD10" s="16" t="s">
        <v>79</v>
      </c>
      <c r="AE10" s="16" t="s">
        <v>80</v>
      </c>
      <c r="AF10" s="16" t="s">
        <v>81</v>
      </c>
      <c r="AG10" s="25" t="s">
        <v>75</v>
      </c>
    </row>
    <row r="11" spans="1:33" ht="18.95" customHeight="1">
      <c r="A11" s="11">
        <v>6</v>
      </c>
      <c r="B11" s="12" t="s">
        <v>82</v>
      </c>
      <c r="C11" s="12" t="s">
        <v>35</v>
      </c>
      <c r="D11" s="12" t="s">
        <v>69</v>
      </c>
      <c r="E11" s="13" t="s">
        <v>58</v>
      </c>
      <c r="F11" s="14">
        <v>44331</v>
      </c>
      <c r="G11" s="14"/>
      <c r="H11" s="15" t="s">
        <v>83</v>
      </c>
      <c r="I11" s="16" t="s">
        <v>84</v>
      </c>
      <c r="J11" s="16"/>
      <c r="K11" s="79" t="s">
        <v>85</v>
      </c>
      <c r="L11" s="16" t="s">
        <v>85</v>
      </c>
      <c r="M11" s="16" t="s">
        <v>86</v>
      </c>
      <c r="N11" s="16" t="s">
        <v>87</v>
      </c>
      <c r="O11" s="16" t="s">
        <v>88</v>
      </c>
      <c r="P11" s="14">
        <v>32665</v>
      </c>
      <c r="Q11" s="16" t="s">
        <v>89</v>
      </c>
      <c r="R11" s="16" t="s">
        <v>45</v>
      </c>
      <c r="S11" s="19">
        <v>6300</v>
      </c>
      <c r="T11" s="14">
        <v>45184</v>
      </c>
      <c r="U11" s="19">
        <v>700</v>
      </c>
      <c r="V11" s="20">
        <v>45729</v>
      </c>
      <c r="W11" s="19">
        <v>500</v>
      </c>
      <c r="X11" s="20">
        <v>46174</v>
      </c>
      <c r="Y11" s="19">
        <v>1000</v>
      </c>
      <c r="Z11" s="19"/>
      <c r="AA11" s="21">
        <f>SUM(Tabela2[[#This Row],[VALOR DO SERVIÇO CONTRATADO]]+Tabela2[[#This Row],[VALOR]]+Tabela2[[#This Row],[VALOR2]]+Tabela2[[#This Row],[AJUDA DE CUSTO]])+Tabela2[[#This Row],[VALOR3]]</f>
        <v>8500</v>
      </c>
      <c r="AB11" s="22" t="s">
        <v>46</v>
      </c>
      <c r="AC11" s="23">
        <v>12</v>
      </c>
      <c r="AD11" s="16"/>
      <c r="AE11" s="16" t="s">
        <v>90</v>
      </c>
      <c r="AF11" s="16" t="s">
        <v>91</v>
      </c>
      <c r="AG11" s="25" t="s">
        <v>75</v>
      </c>
    </row>
    <row r="12" spans="1:33" ht="27" customHeight="1">
      <c r="A12" s="11">
        <v>7</v>
      </c>
      <c r="B12" s="12" t="s">
        <v>92</v>
      </c>
      <c r="C12" s="12" t="s">
        <v>35</v>
      </c>
      <c r="D12" s="12" t="s">
        <v>69</v>
      </c>
      <c r="E12" s="13" t="s">
        <v>58</v>
      </c>
      <c r="F12" s="14">
        <v>44158</v>
      </c>
      <c r="G12" s="14"/>
      <c r="H12" s="15" t="s">
        <v>93</v>
      </c>
      <c r="I12" s="16">
        <v>11975420954</v>
      </c>
      <c r="J12" s="16">
        <v>1004</v>
      </c>
      <c r="K12" s="79" t="s">
        <v>94</v>
      </c>
      <c r="L12" s="26" t="s">
        <v>95</v>
      </c>
      <c r="M12" s="16" t="s">
        <v>96</v>
      </c>
      <c r="N12" s="16" t="s">
        <v>97</v>
      </c>
      <c r="O12" s="16" t="s">
        <v>98</v>
      </c>
      <c r="P12" s="14">
        <v>33214</v>
      </c>
      <c r="Q12" s="26" t="s">
        <v>99</v>
      </c>
      <c r="R12" s="16" t="s">
        <v>45</v>
      </c>
      <c r="S12" s="19">
        <v>5000</v>
      </c>
      <c r="T12" s="14">
        <v>45337</v>
      </c>
      <c r="U12" s="19">
        <v>750</v>
      </c>
      <c r="V12" s="20">
        <v>45659</v>
      </c>
      <c r="W12" s="19">
        <v>750</v>
      </c>
      <c r="X12" s="19"/>
      <c r="Y12" s="19"/>
      <c r="Z12" s="19"/>
      <c r="AA12" s="21">
        <f>SUM(Tabela2[[#This Row],[VALOR DO SERVIÇO CONTRATADO]]+Tabela2[[#This Row],[VALOR]]+Tabela2[[#This Row],[VALOR2]]+Tabela2[[#This Row],[AJUDA DE CUSTO]])+Tabela2[[#This Row],[VALOR3]]</f>
        <v>6500</v>
      </c>
      <c r="AB12" s="22" t="s">
        <v>46</v>
      </c>
      <c r="AC12" s="23" t="s">
        <v>100</v>
      </c>
      <c r="AD12" s="26" t="s">
        <v>101</v>
      </c>
      <c r="AE12" s="16" t="s">
        <v>90</v>
      </c>
      <c r="AF12" s="16" t="s">
        <v>91</v>
      </c>
      <c r="AG12" s="25" t="s">
        <v>75</v>
      </c>
    </row>
    <row r="13" spans="1:33" s="184" customFormat="1" ht="17.45" hidden="1" customHeight="1">
      <c r="A13" s="196">
        <v>8</v>
      </c>
      <c r="B13" s="174" t="s">
        <v>102</v>
      </c>
      <c r="C13" s="174" t="s">
        <v>35</v>
      </c>
      <c r="D13" s="174" t="s">
        <v>36</v>
      </c>
      <c r="E13" s="174" t="s">
        <v>58</v>
      </c>
      <c r="F13" s="173"/>
      <c r="G13" s="173"/>
      <c r="H13" s="203"/>
      <c r="I13" s="173"/>
      <c r="J13" s="173"/>
      <c r="K13" s="173"/>
      <c r="L13" s="173"/>
      <c r="M13" s="173" t="s">
        <v>103</v>
      </c>
      <c r="N13" s="173" t="s">
        <v>104</v>
      </c>
      <c r="O13" s="173" t="s">
        <v>105</v>
      </c>
      <c r="P13" s="173"/>
      <c r="Q13" s="204" t="s">
        <v>106</v>
      </c>
      <c r="R13" s="173" t="s">
        <v>45</v>
      </c>
      <c r="S13" s="180">
        <v>1300</v>
      </c>
      <c r="T13" s="173"/>
      <c r="U13" s="180"/>
      <c r="V13" s="173"/>
      <c r="W13" s="180"/>
      <c r="X13" s="180"/>
      <c r="Y13" s="180"/>
      <c r="Z13" s="180"/>
      <c r="AA13" s="188">
        <f>SUM(Tabela2[[#This Row],[VALOR DO SERVIÇO CONTRATADO]]+Tabela2[[#This Row],[VALOR]]+Tabela2[[#This Row],[VALOR2]]+Tabela2[[#This Row],[AJUDA DE CUSTO]])+Tabela2[[#This Row],[VALOR3]]</f>
        <v>1300</v>
      </c>
      <c r="AB13" s="189" t="s">
        <v>46</v>
      </c>
      <c r="AC13" s="182"/>
      <c r="AD13" s="173" t="s">
        <v>107</v>
      </c>
      <c r="AE13" s="173" t="s">
        <v>90</v>
      </c>
      <c r="AF13" s="173" t="s">
        <v>91</v>
      </c>
      <c r="AG13" s="190" t="s">
        <v>75</v>
      </c>
    </row>
    <row r="14" spans="1:33" s="74" customFormat="1" ht="64.5" customHeight="1">
      <c r="A14" s="43">
        <v>9</v>
      </c>
      <c r="B14" s="68" t="s">
        <v>108</v>
      </c>
      <c r="C14" s="68" t="s">
        <v>109</v>
      </c>
      <c r="D14" s="68" t="s">
        <v>69</v>
      </c>
      <c r="E14" s="69" t="s">
        <v>58</v>
      </c>
      <c r="F14" s="45">
        <v>43814</v>
      </c>
      <c r="G14" s="70"/>
      <c r="H14" s="71" t="s">
        <v>110</v>
      </c>
      <c r="I14" s="44">
        <v>11941575342</v>
      </c>
      <c r="J14" s="44">
        <v>1016</v>
      </c>
      <c r="K14" s="80" t="s">
        <v>111</v>
      </c>
      <c r="L14" s="44" t="s">
        <v>112</v>
      </c>
      <c r="M14" s="44" t="s">
        <v>113</v>
      </c>
      <c r="N14" s="44" t="s">
        <v>114</v>
      </c>
      <c r="O14" s="44" t="s">
        <v>115</v>
      </c>
      <c r="P14" s="45">
        <v>30780</v>
      </c>
      <c r="Q14" s="24" t="s">
        <v>116</v>
      </c>
      <c r="R14" s="44" t="s">
        <v>45</v>
      </c>
      <c r="S14" s="46">
        <v>11625</v>
      </c>
      <c r="T14" s="45">
        <v>45448</v>
      </c>
      <c r="U14" s="46">
        <v>500</v>
      </c>
      <c r="V14" s="44"/>
      <c r="W14" s="46"/>
      <c r="X14" s="46"/>
      <c r="Y14" s="46"/>
      <c r="Z14" s="46"/>
      <c r="AA14" s="47">
        <f>SUM(Tabela2[[#This Row],[VALOR DO SERVIÇO CONTRATADO]]+Tabela2[[#This Row],[VALOR]]+Tabela2[[#This Row],[VALOR2]]+Tabela2[[#This Row],[AJUDA DE CUSTO]])+Tabela2[[#This Row],[VALOR3]]</f>
        <v>12125</v>
      </c>
      <c r="AB14" s="48" t="s">
        <v>46</v>
      </c>
      <c r="AC14" s="49" t="s">
        <v>117</v>
      </c>
      <c r="AD14" s="72" t="s">
        <v>118</v>
      </c>
      <c r="AE14" s="44" t="s">
        <v>90</v>
      </c>
      <c r="AF14" s="44" t="s">
        <v>91</v>
      </c>
      <c r="AG14" s="73" t="s">
        <v>75</v>
      </c>
    </row>
    <row r="15" spans="1:33" ht="25.5" customHeight="1">
      <c r="A15" s="11">
        <v>10</v>
      </c>
      <c r="B15" s="12" t="s">
        <v>119</v>
      </c>
      <c r="C15" s="12" t="s">
        <v>109</v>
      </c>
      <c r="D15" s="12" t="s">
        <v>69</v>
      </c>
      <c r="E15" s="13" t="s">
        <v>58</v>
      </c>
      <c r="F15" s="14">
        <v>44277</v>
      </c>
      <c r="G15" s="14"/>
      <c r="H15" s="15">
        <v>11920117873</v>
      </c>
      <c r="I15" s="27" t="s">
        <v>120</v>
      </c>
      <c r="J15" s="27"/>
      <c r="K15" s="81" t="s">
        <v>121</v>
      </c>
      <c r="L15" s="29" t="s">
        <v>122</v>
      </c>
      <c r="M15" s="16" t="s">
        <v>123</v>
      </c>
      <c r="N15" s="16" t="s">
        <v>124</v>
      </c>
      <c r="O15" s="16"/>
      <c r="P15" s="14"/>
      <c r="Q15" s="16"/>
      <c r="R15" s="16" t="s">
        <v>45</v>
      </c>
      <c r="S15" s="19">
        <v>2000</v>
      </c>
      <c r="T15" s="14">
        <v>44727</v>
      </c>
      <c r="U15" s="19">
        <v>500</v>
      </c>
      <c r="V15" s="14">
        <v>45546</v>
      </c>
      <c r="W15" s="19">
        <v>300</v>
      </c>
      <c r="X15" s="20">
        <v>45702</v>
      </c>
      <c r="Y15" s="19">
        <v>200</v>
      </c>
      <c r="Z15" s="19"/>
      <c r="AA15" s="21">
        <f>SUM(Tabela2[[#This Row],[VALOR DO SERVIÇO CONTRATADO]]+Tabela2[[#This Row],[VALOR]]+Tabela2[[#This Row],[VALOR2]]+Tabela2[[#This Row],[AJUDA DE CUSTO]])+Tabela2[[#This Row],[VALOR3]]</f>
        <v>3000</v>
      </c>
      <c r="AB15" s="22" t="s">
        <v>46</v>
      </c>
      <c r="AC15" s="23">
        <v>12</v>
      </c>
      <c r="AD15" s="16"/>
      <c r="AE15" s="16" t="s">
        <v>90</v>
      </c>
      <c r="AF15" s="16" t="s">
        <v>91</v>
      </c>
      <c r="AG15" s="25" t="s">
        <v>75</v>
      </c>
    </row>
    <row r="16" spans="1:33" s="74" customFormat="1" ht="49.5" customHeight="1">
      <c r="A16" s="43">
        <v>11</v>
      </c>
      <c r="B16" s="68" t="s">
        <v>125</v>
      </c>
      <c r="C16" s="68" t="s">
        <v>109</v>
      </c>
      <c r="D16" s="68" t="s">
        <v>69</v>
      </c>
      <c r="E16" s="69" t="s">
        <v>37</v>
      </c>
      <c r="F16" s="45">
        <v>43746</v>
      </c>
      <c r="G16" s="45"/>
      <c r="H16" s="71" t="s">
        <v>126</v>
      </c>
      <c r="I16" s="44"/>
      <c r="J16" s="44">
        <v>1015</v>
      </c>
      <c r="K16" s="80" t="s">
        <v>127</v>
      </c>
      <c r="L16" s="44" t="s">
        <v>127</v>
      </c>
      <c r="M16" s="44"/>
      <c r="N16" s="44"/>
      <c r="O16" s="44"/>
      <c r="P16" s="45">
        <v>33201</v>
      </c>
      <c r="Q16" s="44"/>
      <c r="R16" s="44" t="s">
        <v>45</v>
      </c>
      <c r="S16" s="46">
        <v>5000</v>
      </c>
      <c r="T16" s="45">
        <v>45387</v>
      </c>
      <c r="U16" s="166"/>
      <c r="V16" s="45">
        <v>45703</v>
      </c>
      <c r="W16" s="46">
        <v>600</v>
      </c>
      <c r="X16" s="167">
        <v>45904</v>
      </c>
      <c r="Y16" s="46">
        <v>400</v>
      </c>
      <c r="Z16" s="46"/>
      <c r="AA16" s="47">
        <f>SUM(Tabela2[[#This Row],[VALOR DO SERVIÇO CONTRATADO]]+Tabela2[[#This Row],[VALOR]]+Tabela2[[#This Row],[VALOR2]]+Tabela2[[#This Row],[AJUDA DE CUSTO]])+Tabela2[[#This Row],[VALOR3]]</f>
        <v>6000</v>
      </c>
      <c r="AB16" s="48" t="s">
        <v>46</v>
      </c>
      <c r="AC16" s="49">
        <v>5</v>
      </c>
      <c r="AD16" s="24"/>
      <c r="AE16" s="44" t="s">
        <v>128</v>
      </c>
      <c r="AF16" s="44" t="s">
        <v>128</v>
      </c>
      <c r="AG16" s="73" t="s">
        <v>75</v>
      </c>
    </row>
    <row r="17" spans="1:33" ht="19.5" customHeight="1">
      <c r="A17" s="11">
        <v>12</v>
      </c>
      <c r="B17" s="12" t="s">
        <v>129</v>
      </c>
      <c r="C17" s="12" t="s">
        <v>109</v>
      </c>
      <c r="D17" s="12" t="s">
        <v>69</v>
      </c>
      <c r="E17" s="13" t="s">
        <v>58</v>
      </c>
      <c r="F17" s="14">
        <v>43570</v>
      </c>
      <c r="G17" s="14"/>
      <c r="H17" s="15" t="s">
        <v>130</v>
      </c>
      <c r="I17" s="16"/>
      <c r="J17" s="16">
        <v>1028</v>
      </c>
      <c r="K17" s="79" t="s">
        <v>131</v>
      </c>
      <c r="L17" s="16" t="s">
        <v>132</v>
      </c>
      <c r="M17" s="16" t="s">
        <v>133</v>
      </c>
      <c r="N17" s="30" t="s">
        <v>134</v>
      </c>
      <c r="O17" s="16" t="s">
        <v>135</v>
      </c>
      <c r="P17" s="14">
        <v>32316</v>
      </c>
      <c r="Q17" s="16" t="s">
        <v>136</v>
      </c>
      <c r="R17" s="16" t="s">
        <v>45</v>
      </c>
      <c r="S17" s="19">
        <v>2200</v>
      </c>
      <c r="T17" s="14">
        <v>45387</v>
      </c>
      <c r="U17" s="19">
        <v>200</v>
      </c>
      <c r="V17" s="16"/>
      <c r="W17" s="19"/>
      <c r="X17" s="19"/>
      <c r="Y17" s="19"/>
      <c r="Z17" s="19"/>
      <c r="AA17" s="21">
        <f>SUM(Tabela2[[#This Row],[VALOR DO SERVIÇO CONTRATADO]]+Tabela2[[#This Row],[VALOR]]+Tabela2[[#This Row],[VALOR2]]+Tabela2[[#This Row],[AJUDA DE CUSTO]])+Tabela2[[#This Row],[VALOR3]]</f>
        <v>2400</v>
      </c>
      <c r="AB17" s="22" t="s">
        <v>46</v>
      </c>
      <c r="AC17" s="31" t="s">
        <v>137</v>
      </c>
      <c r="AD17" s="16"/>
      <c r="AE17" s="16" t="s">
        <v>73</v>
      </c>
      <c r="AF17" s="16" t="s">
        <v>138</v>
      </c>
      <c r="AG17" s="25" t="s">
        <v>75</v>
      </c>
    </row>
    <row r="18" spans="1:33" ht="30" hidden="1" customHeight="1">
      <c r="A18" s="53">
        <v>13</v>
      </c>
      <c r="B18" s="55" t="s">
        <v>139</v>
      </c>
      <c r="C18" s="55" t="s">
        <v>109</v>
      </c>
      <c r="D18" s="55" t="s">
        <v>36</v>
      </c>
      <c r="E18" s="55" t="s">
        <v>58</v>
      </c>
      <c r="F18" s="56">
        <v>43803</v>
      </c>
      <c r="G18" s="56"/>
      <c r="H18" s="57" t="s">
        <v>140</v>
      </c>
      <c r="I18" s="58" t="s">
        <v>141</v>
      </c>
      <c r="J18" s="58">
        <v>1033</v>
      </c>
      <c r="K18" s="65" t="s">
        <v>142</v>
      </c>
      <c r="L18" s="58" t="s">
        <v>143</v>
      </c>
      <c r="M18" s="58" t="s">
        <v>144</v>
      </c>
      <c r="N18" s="58" t="s">
        <v>145</v>
      </c>
      <c r="O18" s="58" t="s">
        <v>146</v>
      </c>
      <c r="P18" s="56">
        <v>30742</v>
      </c>
      <c r="Q18" s="58" t="s">
        <v>147</v>
      </c>
      <c r="R18" s="58" t="s">
        <v>45</v>
      </c>
      <c r="S18" s="61">
        <v>9000</v>
      </c>
      <c r="T18" s="56">
        <v>45458</v>
      </c>
      <c r="U18" s="61">
        <v>1000</v>
      </c>
      <c r="V18" s="58"/>
      <c r="W18" s="61"/>
      <c r="X18" s="61"/>
      <c r="Y18" s="61"/>
      <c r="Z18" s="61"/>
      <c r="AA18" s="62">
        <f>SUM(Tabela2[[#This Row],[VALOR DO SERVIÇO CONTRATADO]]+Tabela2[[#This Row],[VALOR]]+Tabela2[[#This Row],[VALOR2]]+Tabela2[[#This Row],[AJUDA DE CUSTO]])+Tabela2[[#This Row],[VALOR3]]</f>
        <v>10000</v>
      </c>
      <c r="AB18" s="60" t="s">
        <v>46</v>
      </c>
      <c r="AC18" s="77">
        <v>12</v>
      </c>
      <c r="AD18" s="99" t="s">
        <v>148</v>
      </c>
      <c r="AE18" s="58" t="s">
        <v>90</v>
      </c>
      <c r="AF18" s="58" t="s">
        <v>91</v>
      </c>
      <c r="AG18" s="63" t="s">
        <v>75</v>
      </c>
    </row>
    <row r="19" spans="1:33" ht="17.100000000000001" customHeight="1">
      <c r="A19" s="11">
        <v>14</v>
      </c>
      <c r="B19" s="12" t="s">
        <v>149</v>
      </c>
      <c r="C19" s="12" t="s">
        <v>109</v>
      </c>
      <c r="D19" s="12" t="s">
        <v>69</v>
      </c>
      <c r="E19" s="13" t="s">
        <v>58</v>
      </c>
      <c r="F19" s="14">
        <v>44319</v>
      </c>
      <c r="G19" s="14"/>
      <c r="H19" s="15">
        <v>11999448219</v>
      </c>
      <c r="I19" s="16">
        <v>1145801044</v>
      </c>
      <c r="J19" s="16">
        <v>1044</v>
      </c>
      <c r="K19" s="79" t="s">
        <v>150</v>
      </c>
      <c r="L19" s="79" t="s">
        <v>150</v>
      </c>
      <c r="M19" s="16" t="s">
        <v>151</v>
      </c>
      <c r="N19" s="16" t="s">
        <v>152</v>
      </c>
      <c r="O19" s="16" t="s">
        <v>153</v>
      </c>
      <c r="P19" s="14">
        <v>30300</v>
      </c>
      <c r="Q19" s="16" t="s">
        <v>154</v>
      </c>
      <c r="R19" s="16" t="s">
        <v>45</v>
      </c>
      <c r="S19" s="19">
        <v>4000</v>
      </c>
      <c r="T19" s="16"/>
      <c r="U19" s="19"/>
      <c r="V19" s="16"/>
      <c r="W19" s="19"/>
      <c r="X19" s="19"/>
      <c r="Y19" s="19"/>
      <c r="Z19" s="19"/>
      <c r="AA19" s="21">
        <f>SUM(Tabela2[[#This Row],[VALOR DO SERVIÇO CONTRATADO]]+Tabela2[[#This Row],[VALOR]]+Tabela2[[#This Row],[VALOR2]]+Tabela2[[#This Row],[AJUDA DE CUSTO]])+Tabela2[[#This Row],[VALOR3]]</f>
        <v>4000</v>
      </c>
      <c r="AB19" s="22" t="s">
        <v>46</v>
      </c>
      <c r="AC19" s="23">
        <v>12</v>
      </c>
      <c r="AD19" s="16"/>
      <c r="AE19" s="16" t="s">
        <v>47</v>
      </c>
      <c r="AF19" s="16" t="s">
        <v>48</v>
      </c>
      <c r="AG19" s="25" t="s">
        <v>46</v>
      </c>
    </row>
    <row r="20" spans="1:33">
      <c r="A20" s="11">
        <v>15</v>
      </c>
      <c r="B20" s="12" t="s">
        <v>155</v>
      </c>
      <c r="C20" s="12" t="s">
        <v>109</v>
      </c>
      <c r="D20" s="12" t="s">
        <v>69</v>
      </c>
      <c r="E20" s="13" t="s">
        <v>58</v>
      </c>
      <c r="F20" s="14">
        <v>44713</v>
      </c>
      <c r="G20" s="14"/>
      <c r="H20" s="15">
        <v>11913200297</v>
      </c>
      <c r="I20" s="16">
        <v>11920117873</v>
      </c>
      <c r="J20" s="16"/>
      <c r="K20" s="79" t="s">
        <v>156</v>
      </c>
      <c r="L20" s="16" t="s">
        <v>122</v>
      </c>
      <c r="M20" s="16" t="s">
        <v>157</v>
      </c>
      <c r="N20" t="s">
        <v>158</v>
      </c>
      <c r="O20" t="s">
        <v>159</v>
      </c>
      <c r="P20" s="14">
        <v>29300</v>
      </c>
      <c r="Q20" s="16" t="s">
        <v>160</v>
      </c>
      <c r="R20" s="16" t="s">
        <v>45</v>
      </c>
      <c r="S20" s="19">
        <v>3000</v>
      </c>
      <c r="T20" s="14">
        <v>45659</v>
      </c>
      <c r="U20" s="19">
        <v>350</v>
      </c>
      <c r="V20" s="16"/>
      <c r="W20" s="19"/>
      <c r="X20" s="19"/>
      <c r="Y20" s="19"/>
      <c r="Z20" s="19">
        <v>500</v>
      </c>
      <c r="AA20" s="21">
        <f>SUM(Tabela2[[#This Row],[VALOR DO SERVIÇO CONTRATADO]]+Tabela2[[#This Row],[VALOR]]+Tabela2[[#This Row],[VALOR2]]+Tabela2[[#This Row],[AJUDA DE CUSTO]])+Tabela2[[#This Row],[VALOR3]]</f>
        <v>3850</v>
      </c>
      <c r="AB20" s="22" t="s">
        <v>46</v>
      </c>
      <c r="AC20" s="23">
        <v>12</v>
      </c>
      <c r="AD20" s="16" t="s">
        <v>161</v>
      </c>
      <c r="AE20" s="16" t="s">
        <v>90</v>
      </c>
      <c r="AF20" s="16" t="s">
        <v>91</v>
      </c>
      <c r="AG20" s="25" t="s">
        <v>75</v>
      </c>
    </row>
    <row r="21" spans="1:33" s="64" customFormat="1" ht="18.95" hidden="1" customHeight="1">
      <c r="A21" s="53">
        <v>16</v>
      </c>
      <c r="B21" s="55" t="s">
        <v>162</v>
      </c>
      <c r="C21" s="55" t="s">
        <v>109</v>
      </c>
      <c r="D21" s="55" t="s">
        <v>36</v>
      </c>
      <c r="E21" s="55" t="s">
        <v>58</v>
      </c>
      <c r="F21" s="56">
        <v>45420</v>
      </c>
      <c r="G21" s="56">
        <v>45566</v>
      </c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 t="s">
        <v>45</v>
      </c>
      <c r="S21" s="61">
        <v>3500</v>
      </c>
      <c r="T21" s="58"/>
      <c r="U21" s="61"/>
      <c r="V21" s="58"/>
      <c r="W21" s="61"/>
      <c r="X21" s="61"/>
      <c r="Y21" s="61"/>
      <c r="Z21" s="61"/>
      <c r="AA21" s="62">
        <f>SUM(Tabela2[[#This Row],[VALOR DO SERVIÇO CONTRATADO]]+Tabela2[[#This Row],[VALOR]]+Tabela2[[#This Row],[VALOR2]]+Tabela2[[#This Row],[AJUDA DE CUSTO]])+Tabela2[[#This Row],[VALOR3]]</f>
        <v>3500</v>
      </c>
      <c r="AB21" s="60" t="s">
        <v>46</v>
      </c>
      <c r="AC21" s="58">
        <v>12</v>
      </c>
      <c r="AD21" s="58"/>
      <c r="AE21" s="58" t="s">
        <v>47</v>
      </c>
      <c r="AF21" s="58" t="s">
        <v>48</v>
      </c>
      <c r="AG21" s="63" t="s">
        <v>46</v>
      </c>
    </row>
    <row r="22" spans="1:33" ht="15.95" hidden="1" customHeight="1">
      <c r="A22" s="75">
        <v>17</v>
      </c>
      <c r="B22" s="55" t="s">
        <v>163</v>
      </c>
      <c r="C22" s="55" t="s">
        <v>109</v>
      </c>
      <c r="D22" s="55" t="s">
        <v>36</v>
      </c>
      <c r="E22" s="55" t="s">
        <v>58</v>
      </c>
      <c r="F22" s="56">
        <v>45489</v>
      </c>
      <c r="G22" s="56">
        <v>45680</v>
      </c>
      <c r="H22" s="57">
        <v>11949195639</v>
      </c>
      <c r="I22" s="58">
        <v>11920113432</v>
      </c>
      <c r="J22" s="58"/>
      <c r="K22" s="76" t="s">
        <v>164</v>
      </c>
      <c r="L22" s="76" t="s">
        <v>164</v>
      </c>
      <c r="M22" s="58" t="s">
        <v>165</v>
      </c>
      <c r="N22" s="58" t="s">
        <v>166</v>
      </c>
      <c r="O22" s="58" t="s">
        <v>167</v>
      </c>
      <c r="P22" s="56">
        <v>30865</v>
      </c>
      <c r="Q22" s="58" t="s">
        <v>168</v>
      </c>
      <c r="R22" s="58" t="s">
        <v>45</v>
      </c>
      <c r="S22" s="61">
        <v>4500</v>
      </c>
      <c r="T22" s="58"/>
      <c r="U22" s="61"/>
      <c r="V22" s="58"/>
      <c r="W22" s="61"/>
      <c r="X22" s="61"/>
      <c r="Y22" s="61"/>
      <c r="Z22" s="61"/>
      <c r="AA22" s="62">
        <f>SUM(Tabela2[[#This Row],[VALOR DO SERVIÇO CONTRATADO]]+Tabela2[[#This Row],[VALOR]]+Tabela2[[#This Row],[VALOR2]]+Tabela2[[#This Row],[AJUDA DE CUSTO]])+Tabela2[[#This Row],[VALOR3]]</f>
        <v>4500</v>
      </c>
      <c r="AB22" s="60" t="s">
        <v>46</v>
      </c>
      <c r="AC22" s="77" t="s">
        <v>100</v>
      </c>
      <c r="AD22" s="58" t="s">
        <v>169</v>
      </c>
      <c r="AE22" s="58" t="s">
        <v>90</v>
      </c>
      <c r="AF22" s="58" t="s">
        <v>91</v>
      </c>
      <c r="AG22" s="63" t="s">
        <v>75</v>
      </c>
    </row>
    <row r="23" spans="1:33" ht="15" customHeight="1">
      <c r="A23" s="11">
        <v>18</v>
      </c>
      <c r="B23" s="12" t="s">
        <v>170</v>
      </c>
      <c r="C23" s="12" t="s">
        <v>109</v>
      </c>
      <c r="D23" s="12" t="s">
        <v>69</v>
      </c>
      <c r="E23" s="13" t="s">
        <v>37</v>
      </c>
      <c r="F23" s="14">
        <v>45404</v>
      </c>
      <c r="G23" s="16"/>
      <c r="H23" s="15" t="s">
        <v>171</v>
      </c>
      <c r="I23" s="23" t="s">
        <v>172</v>
      </c>
      <c r="J23" s="23">
        <v>1063</v>
      </c>
      <c r="K23" s="81" t="s">
        <v>173</v>
      </c>
      <c r="L23" s="16" t="s">
        <v>174</v>
      </c>
      <c r="M23" s="12" t="s">
        <v>170</v>
      </c>
      <c r="N23" s="16" t="s">
        <v>175</v>
      </c>
      <c r="O23" s="16" t="s">
        <v>176</v>
      </c>
      <c r="P23" s="14">
        <v>29368</v>
      </c>
      <c r="Q23" s="16" t="s">
        <v>177</v>
      </c>
      <c r="R23" s="16" t="s">
        <v>45</v>
      </c>
      <c r="S23" s="19">
        <v>3500</v>
      </c>
      <c r="T23" s="16"/>
      <c r="U23" s="19"/>
      <c r="V23" s="16"/>
      <c r="W23" s="19"/>
      <c r="X23" s="19"/>
      <c r="Y23" s="19"/>
      <c r="Z23" s="19"/>
      <c r="AA23" s="21">
        <f>SUM(Tabela2[[#This Row],[VALOR DO SERVIÇO CONTRATADO]]+Tabela2[[#This Row],[VALOR]]+Tabela2[[#This Row],[VALOR2]]+Tabela2[[#This Row],[AJUDA DE CUSTO]])+Tabela2[[#This Row],[VALOR3]]</f>
        <v>3500</v>
      </c>
      <c r="AB23" s="22" t="s">
        <v>46</v>
      </c>
      <c r="AC23" s="23">
        <v>12</v>
      </c>
      <c r="AD23" s="16"/>
      <c r="AE23" s="16" t="s">
        <v>47</v>
      </c>
      <c r="AF23" s="16" t="s">
        <v>48</v>
      </c>
      <c r="AG23" s="25" t="s">
        <v>46</v>
      </c>
    </row>
    <row r="24" spans="1:33">
      <c r="A24" s="11">
        <v>19</v>
      </c>
      <c r="B24" s="12" t="s">
        <v>178</v>
      </c>
      <c r="C24" s="12" t="s">
        <v>179</v>
      </c>
      <c r="D24" s="12" t="s">
        <v>69</v>
      </c>
      <c r="E24" s="13" t="s">
        <v>58</v>
      </c>
      <c r="F24" s="14">
        <v>44078</v>
      </c>
      <c r="G24" s="14"/>
      <c r="H24" s="15" t="s">
        <v>180</v>
      </c>
      <c r="I24" s="16"/>
      <c r="J24" s="16">
        <v>1006</v>
      </c>
      <c r="K24" s="79" t="s">
        <v>181</v>
      </c>
      <c r="L24" s="16" t="s">
        <v>181</v>
      </c>
      <c r="M24" s="16"/>
      <c r="N24" s="16"/>
      <c r="O24" s="16"/>
      <c r="P24" s="14">
        <v>28319</v>
      </c>
      <c r="Q24" s="16"/>
      <c r="R24" s="16" t="s">
        <v>45</v>
      </c>
      <c r="S24" s="19">
        <v>12000</v>
      </c>
      <c r="T24" s="16"/>
      <c r="U24" s="19"/>
      <c r="V24" s="16"/>
      <c r="W24" s="19"/>
      <c r="X24" s="19"/>
      <c r="Y24" s="19"/>
      <c r="Z24" s="19">
        <v>5000</v>
      </c>
      <c r="AA24" s="21">
        <f>SUM(Tabela2[[#This Row],[VALOR DO SERVIÇO CONTRATADO]]+Tabela2[[#This Row],[VALOR]]+Tabela2[[#This Row],[VALOR2]]+Tabela2[[#This Row],[AJUDA DE CUSTO]])+Tabela2[[#This Row],[VALOR3]]</f>
        <v>17000</v>
      </c>
      <c r="AB24" s="22" t="s">
        <v>75</v>
      </c>
      <c r="AC24" s="32"/>
      <c r="AD24" s="22"/>
      <c r="AE24" s="16" t="s">
        <v>47</v>
      </c>
      <c r="AF24" s="16" t="s">
        <v>182</v>
      </c>
      <c r="AG24" s="25" t="s">
        <v>46</v>
      </c>
    </row>
    <row r="25" spans="1:33">
      <c r="A25" s="11">
        <v>20</v>
      </c>
      <c r="B25" s="12" t="s">
        <v>183</v>
      </c>
      <c r="C25" s="12" t="s">
        <v>179</v>
      </c>
      <c r="D25" s="12" t="s">
        <v>69</v>
      </c>
      <c r="E25" s="13" t="s">
        <v>37</v>
      </c>
      <c r="F25" s="33">
        <v>43296</v>
      </c>
      <c r="G25" s="33"/>
      <c r="H25" s="15" t="s">
        <v>184</v>
      </c>
      <c r="I25" s="16"/>
      <c r="J25" s="16">
        <v>1027</v>
      </c>
      <c r="K25" s="79" t="s">
        <v>185</v>
      </c>
      <c r="L25" s="16" t="s">
        <v>185</v>
      </c>
      <c r="M25" s="16"/>
      <c r="N25" s="16"/>
      <c r="O25" s="16"/>
      <c r="P25" s="14">
        <v>34222</v>
      </c>
      <c r="Q25" s="16"/>
      <c r="R25" s="16" t="s">
        <v>45</v>
      </c>
      <c r="S25" s="19">
        <v>7500</v>
      </c>
      <c r="T25" s="14">
        <v>45385</v>
      </c>
      <c r="U25" s="19">
        <v>500</v>
      </c>
      <c r="V25" s="14">
        <v>45904</v>
      </c>
      <c r="W25" s="19">
        <v>500</v>
      </c>
      <c r="X25" s="19"/>
      <c r="Y25" s="19"/>
      <c r="Z25" s="19"/>
      <c r="AA25" s="21">
        <f>SUM(Tabela2[[#This Row],[VALOR DO SERVIÇO CONTRATADO]]+Tabela2[[#This Row],[VALOR]]+Tabela2[[#This Row],[VALOR2]]+Tabela2[[#This Row],[AJUDA DE CUSTO]])+Tabela2[[#This Row],[VALOR3]]</f>
        <v>8500</v>
      </c>
      <c r="AB25" s="22" t="s">
        <v>75</v>
      </c>
      <c r="AC25" s="32"/>
      <c r="AD25" s="22"/>
      <c r="AE25" s="16" t="s">
        <v>73</v>
      </c>
      <c r="AF25" s="16"/>
      <c r="AG25" s="25" t="s">
        <v>75</v>
      </c>
    </row>
    <row r="26" spans="1:33">
      <c r="A26" s="11">
        <v>21</v>
      </c>
      <c r="B26" t="s">
        <v>186</v>
      </c>
      <c r="C26" s="12" t="s">
        <v>179</v>
      </c>
      <c r="D26" s="12" t="s">
        <v>69</v>
      </c>
      <c r="E26" s="13" t="s">
        <v>37</v>
      </c>
      <c r="F26" s="14">
        <v>44793</v>
      </c>
      <c r="G26" s="14"/>
      <c r="H26" s="15" t="s">
        <v>187</v>
      </c>
      <c r="I26" s="16"/>
      <c r="J26" s="16"/>
      <c r="K26" s="36"/>
      <c r="L26" s="16" t="s">
        <v>188</v>
      </c>
      <c r="M26" s="16" t="s">
        <v>189</v>
      </c>
      <c r="N26" s="16" t="s">
        <v>189</v>
      </c>
      <c r="O26" s="16" t="s">
        <v>190</v>
      </c>
      <c r="P26" s="14">
        <v>24660</v>
      </c>
      <c r="Q26" s="16" t="s">
        <v>191</v>
      </c>
      <c r="R26" s="16" t="s">
        <v>45</v>
      </c>
      <c r="S26" s="19">
        <v>1600</v>
      </c>
      <c r="T26" s="14">
        <v>45371</v>
      </c>
      <c r="U26" s="19">
        <v>400</v>
      </c>
      <c r="V26" s="14">
        <v>45904</v>
      </c>
      <c r="W26" s="19">
        <v>400</v>
      </c>
      <c r="X26" s="19"/>
      <c r="Y26" s="19"/>
      <c r="Z26" s="19"/>
      <c r="AA26" s="21">
        <f>SUM(Tabela2[[#This Row],[VALOR DO SERVIÇO CONTRATADO]]+Tabela2[[#This Row],[VALOR]]+Tabela2[[#This Row],[VALOR2]]+Tabela2[[#This Row],[AJUDA DE CUSTO]])+Tabela2[[#This Row],[VALOR3]]</f>
        <v>2400</v>
      </c>
      <c r="AB26" s="22" t="s">
        <v>75</v>
      </c>
      <c r="AC26" s="32"/>
      <c r="AD26" s="22"/>
      <c r="AE26" s="16" t="s">
        <v>90</v>
      </c>
      <c r="AF26" s="16" t="s">
        <v>91</v>
      </c>
      <c r="AG26" s="25" t="s">
        <v>75</v>
      </c>
    </row>
    <row r="27" spans="1:33">
      <c r="A27" s="11">
        <v>22</v>
      </c>
      <c r="B27" s="12" t="s">
        <v>192</v>
      </c>
      <c r="C27" s="12" t="s">
        <v>179</v>
      </c>
      <c r="D27" s="12" t="s">
        <v>69</v>
      </c>
      <c r="E27" s="13" t="s">
        <v>37</v>
      </c>
      <c r="F27" s="14">
        <v>44793</v>
      </c>
      <c r="G27" s="14"/>
      <c r="H27" s="15" t="s">
        <v>193</v>
      </c>
      <c r="I27" s="16"/>
      <c r="J27" s="16"/>
      <c r="K27" s="36"/>
      <c r="L27" s="16"/>
      <c r="M27" s="16"/>
      <c r="N27" s="16"/>
      <c r="O27" s="16"/>
      <c r="P27" s="16"/>
      <c r="Q27" s="16"/>
      <c r="R27" s="16" t="s">
        <v>45</v>
      </c>
      <c r="S27" s="19">
        <v>1600</v>
      </c>
      <c r="T27" s="14">
        <v>45371</v>
      </c>
      <c r="U27" s="19">
        <v>400</v>
      </c>
      <c r="V27" s="14">
        <v>45904</v>
      </c>
      <c r="W27" s="19">
        <v>400</v>
      </c>
      <c r="X27" s="19"/>
      <c r="Y27" s="19"/>
      <c r="Z27" s="19"/>
      <c r="AA27" s="21">
        <f>SUM(Tabela2[[#This Row],[VALOR DO SERVIÇO CONTRATADO]]+Tabela2[[#This Row],[VALOR]]+Tabela2[[#This Row],[VALOR2]]+Tabela2[[#This Row],[AJUDA DE CUSTO]])+Tabela2[[#This Row],[VALOR3]]</f>
        <v>2400</v>
      </c>
      <c r="AB27" s="22" t="s">
        <v>75</v>
      </c>
      <c r="AC27" s="32"/>
      <c r="AD27" s="22"/>
      <c r="AE27" s="16" t="s">
        <v>90</v>
      </c>
      <c r="AF27" s="16" t="s">
        <v>91</v>
      </c>
      <c r="AG27" s="25" t="s">
        <v>75</v>
      </c>
    </row>
    <row r="28" spans="1:33">
      <c r="A28" s="11">
        <v>23</v>
      </c>
      <c r="B28" s="16" t="s">
        <v>194</v>
      </c>
      <c r="C28" s="16" t="s">
        <v>179</v>
      </c>
      <c r="D28" s="16" t="s">
        <v>69</v>
      </c>
      <c r="E28" s="13" t="s">
        <v>37</v>
      </c>
      <c r="F28" s="14">
        <v>45083</v>
      </c>
      <c r="G28" s="14"/>
      <c r="H28" s="15" t="s">
        <v>195</v>
      </c>
      <c r="I28" s="16"/>
      <c r="J28" s="16">
        <v>1090</v>
      </c>
      <c r="K28" s="36"/>
      <c r="L28" s="16"/>
      <c r="M28" s="16"/>
      <c r="N28" s="16"/>
      <c r="O28" s="16"/>
      <c r="P28" s="34">
        <v>45436</v>
      </c>
      <c r="Q28" s="16"/>
      <c r="R28" s="16" t="s">
        <v>45</v>
      </c>
      <c r="S28" s="19">
        <v>2000</v>
      </c>
      <c r="T28" s="14">
        <v>45658</v>
      </c>
      <c r="U28" s="19">
        <v>250</v>
      </c>
      <c r="V28" s="16"/>
      <c r="W28" s="19"/>
      <c r="X28" s="19"/>
      <c r="Y28" s="19"/>
      <c r="Z28" s="19">
        <v>200</v>
      </c>
      <c r="AA28" s="21">
        <f>SUM(Tabela2[[#This Row],[VALOR DO SERVIÇO CONTRATADO]]+Tabela2[[#This Row],[VALOR]]+Tabela2[[#This Row],[VALOR2]]+Tabela2[[#This Row],[AJUDA DE CUSTO]])+Tabela2[[#This Row],[VALOR3]]</f>
        <v>2450</v>
      </c>
      <c r="AB28" s="22"/>
      <c r="AC28" s="32"/>
      <c r="AD28" s="22"/>
      <c r="AE28" s="16"/>
      <c r="AF28" s="16"/>
      <c r="AG28" s="25" t="s">
        <v>75</v>
      </c>
    </row>
    <row r="29" spans="1:33" ht="14.1" hidden="1" customHeight="1">
      <c r="A29" s="53">
        <v>24</v>
      </c>
      <c r="B29" s="58" t="s">
        <v>196</v>
      </c>
      <c r="C29" s="58" t="s">
        <v>109</v>
      </c>
      <c r="D29" s="58" t="s">
        <v>36</v>
      </c>
      <c r="E29" s="55" t="s">
        <v>58</v>
      </c>
      <c r="F29" s="56">
        <v>45579</v>
      </c>
      <c r="G29" s="56">
        <v>45610</v>
      </c>
      <c r="H29" s="57">
        <v>11986594836</v>
      </c>
      <c r="I29" s="58"/>
      <c r="J29" s="58"/>
      <c r="K29" s="58"/>
      <c r="L29" s="58" t="s">
        <v>197</v>
      </c>
      <c r="M29" s="58" t="s">
        <v>198</v>
      </c>
      <c r="N29" s="58" t="s">
        <v>199</v>
      </c>
      <c r="O29" s="58" t="s">
        <v>200</v>
      </c>
      <c r="P29" s="56">
        <v>38262</v>
      </c>
      <c r="Q29" s="58" t="s">
        <v>201</v>
      </c>
      <c r="R29" s="58" t="s">
        <v>45</v>
      </c>
      <c r="S29" s="59">
        <v>2500</v>
      </c>
      <c r="T29" s="58"/>
      <c r="U29" s="61"/>
      <c r="V29" s="58"/>
      <c r="W29" s="61"/>
      <c r="X29" s="61"/>
      <c r="Y29" s="61"/>
      <c r="Z29" s="61"/>
      <c r="AA29" s="62">
        <f>SUM(Tabela2[[#This Row],[VALOR DO SERVIÇO CONTRATADO]]+Tabela2[[#This Row],[VALOR]]+Tabela2[[#This Row],[VALOR2]]+Tabela2[[#This Row],[AJUDA DE CUSTO]])+Tabela2[[#This Row],[VALOR3]]</f>
        <v>2500</v>
      </c>
      <c r="AB29" s="60" t="s">
        <v>46</v>
      </c>
      <c r="AC29" s="58">
        <v>12</v>
      </c>
      <c r="AD29" s="60" t="s">
        <v>202</v>
      </c>
      <c r="AE29" s="58" t="s">
        <v>47</v>
      </c>
      <c r="AF29" s="58" t="s">
        <v>203</v>
      </c>
      <c r="AG29" s="63" t="s">
        <v>46</v>
      </c>
    </row>
    <row r="30" spans="1:33" ht="14.1" hidden="1" customHeight="1">
      <c r="A30" s="53">
        <v>25</v>
      </c>
      <c r="B30" s="58" t="s">
        <v>204</v>
      </c>
      <c r="C30" s="58" t="s">
        <v>179</v>
      </c>
      <c r="D30" s="58" t="s">
        <v>36</v>
      </c>
      <c r="E30" s="55" t="s">
        <v>58</v>
      </c>
      <c r="F30" s="56">
        <v>45579</v>
      </c>
      <c r="G30" s="56">
        <v>45595</v>
      </c>
      <c r="H30" s="57">
        <v>11980357708</v>
      </c>
      <c r="I30" s="58"/>
      <c r="J30" s="58"/>
      <c r="K30" s="58"/>
      <c r="L30" s="58" t="s">
        <v>205</v>
      </c>
      <c r="M30" s="58" t="s">
        <v>206</v>
      </c>
      <c r="N30" s="58" t="s">
        <v>207</v>
      </c>
      <c r="O30" s="58" t="s">
        <v>208</v>
      </c>
      <c r="P30" s="56">
        <v>26973</v>
      </c>
      <c r="Q30" s="58" t="s">
        <v>209</v>
      </c>
      <c r="R30" s="58" t="s">
        <v>45</v>
      </c>
      <c r="S30" s="61">
        <v>3000</v>
      </c>
      <c r="T30" s="58"/>
      <c r="U30" s="61"/>
      <c r="V30" s="58"/>
      <c r="W30" s="61"/>
      <c r="X30" s="61"/>
      <c r="Y30" s="61"/>
      <c r="Z30" s="61"/>
      <c r="AA30" s="62">
        <f>SUM(Tabela2[[#This Row],[VALOR DO SERVIÇO CONTRATADO]]+Tabela2[[#This Row],[VALOR]]+Tabela2[[#This Row],[VALOR2]]+Tabela2[[#This Row],[AJUDA DE CUSTO]])+Tabela2[[#This Row],[VALOR3]]</f>
        <v>3000</v>
      </c>
      <c r="AB30" s="60" t="s">
        <v>46</v>
      </c>
      <c r="AC30" s="58">
        <v>12</v>
      </c>
      <c r="AD30" s="60" t="s">
        <v>202</v>
      </c>
      <c r="AE30" s="58" t="s">
        <v>47</v>
      </c>
      <c r="AF30" s="58" t="s">
        <v>210</v>
      </c>
      <c r="AG30" s="63" t="s">
        <v>46</v>
      </c>
    </row>
    <row r="31" spans="1:33" s="35" customFormat="1" ht="15" hidden="1" customHeight="1">
      <c r="A31" s="53">
        <v>26</v>
      </c>
      <c r="B31" s="58" t="s">
        <v>211</v>
      </c>
      <c r="C31" s="58" t="s">
        <v>179</v>
      </c>
      <c r="D31" s="58" t="s">
        <v>36</v>
      </c>
      <c r="E31" s="55" t="s">
        <v>58</v>
      </c>
      <c r="F31" s="56">
        <v>45579</v>
      </c>
      <c r="G31" s="56">
        <v>45747</v>
      </c>
      <c r="H31" s="57" t="s">
        <v>212</v>
      </c>
      <c r="I31" s="58"/>
      <c r="J31" s="58"/>
      <c r="K31" s="65" t="s">
        <v>213</v>
      </c>
      <c r="L31" s="58" t="s">
        <v>214</v>
      </c>
      <c r="M31" s="58" t="s">
        <v>215</v>
      </c>
      <c r="N31" s="58" t="s">
        <v>216</v>
      </c>
      <c r="O31" s="58" t="s">
        <v>217</v>
      </c>
      <c r="P31" s="56">
        <v>26973</v>
      </c>
      <c r="Q31" s="58" t="s">
        <v>218</v>
      </c>
      <c r="R31" s="58" t="s">
        <v>45</v>
      </c>
      <c r="S31" s="61">
        <v>3500</v>
      </c>
      <c r="T31" s="58"/>
      <c r="U31" s="61"/>
      <c r="V31" s="58"/>
      <c r="W31" s="61"/>
      <c r="X31" s="61"/>
      <c r="Y31" s="61"/>
      <c r="Z31" s="61"/>
      <c r="AA31" s="62">
        <f>SUM(Tabela2[[#This Row],[VALOR DO SERVIÇO CONTRATADO]]+Tabela2[[#This Row],[VALOR]]+Tabela2[[#This Row],[VALOR2]]+Tabela2[[#This Row],[AJUDA DE CUSTO]])+Tabela2[[#This Row],[VALOR3]]</f>
        <v>3500</v>
      </c>
      <c r="AB31" s="60" t="s">
        <v>46</v>
      </c>
      <c r="AC31" s="77">
        <v>12</v>
      </c>
      <c r="AD31" s="60"/>
      <c r="AE31" s="58" t="s">
        <v>47</v>
      </c>
      <c r="AF31" s="58" t="s">
        <v>219</v>
      </c>
      <c r="AG31" s="63" t="s">
        <v>46</v>
      </c>
    </row>
    <row r="32" spans="1:33" s="35" customFormat="1" ht="14.1" hidden="1" customHeight="1">
      <c r="A32" s="75">
        <v>27</v>
      </c>
      <c r="B32" s="58" t="s">
        <v>220</v>
      </c>
      <c r="C32" s="58" t="s">
        <v>35</v>
      </c>
      <c r="D32" s="58" t="s">
        <v>36</v>
      </c>
      <c r="E32" s="55" t="s">
        <v>37</v>
      </c>
      <c r="F32" s="56">
        <v>45582</v>
      </c>
      <c r="G32" s="56">
        <v>45617</v>
      </c>
      <c r="H32" s="57" t="s">
        <v>221</v>
      </c>
      <c r="I32" s="58"/>
      <c r="J32" s="58"/>
      <c r="K32" s="58"/>
      <c r="L32" s="58" t="s">
        <v>222</v>
      </c>
      <c r="M32" s="58" t="s">
        <v>223</v>
      </c>
      <c r="N32" s="58" t="s">
        <v>224</v>
      </c>
      <c r="O32" s="58" t="s">
        <v>225</v>
      </c>
      <c r="P32" s="56">
        <v>31779</v>
      </c>
      <c r="Q32" s="58" t="s">
        <v>226</v>
      </c>
      <c r="R32" s="58" t="s">
        <v>45</v>
      </c>
      <c r="S32" s="61">
        <v>3500</v>
      </c>
      <c r="T32" s="58"/>
      <c r="U32" s="61"/>
      <c r="V32" s="58"/>
      <c r="W32" s="61"/>
      <c r="X32" s="61"/>
      <c r="Y32" s="61"/>
      <c r="Z32" s="61"/>
      <c r="AA32" s="62">
        <f>SUM(Tabela2[[#This Row],[VALOR DO SERVIÇO CONTRATADO]]+Tabela2[[#This Row],[VALOR]]+Tabela2[[#This Row],[VALOR2]]+Tabela2[[#This Row],[AJUDA DE CUSTO]])+Tabela2[[#This Row],[VALOR3]]</f>
        <v>3500</v>
      </c>
      <c r="AB32" s="60" t="s">
        <v>46</v>
      </c>
      <c r="AC32" s="58">
        <v>12</v>
      </c>
      <c r="AD32" s="60"/>
      <c r="AE32" s="58" t="s">
        <v>47</v>
      </c>
      <c r="AF32" s="58" t="s">
        <v>219</v>
      </c>
      <c r="AG32" s="63" t="s">
        <v>67</v>
      </c>
    </row>
    <row r="33" spans="1:33" hidden="1">
      <c r="A33" s="75">
        <v>28</v>
      </c>
      <c r="B33" s="58" t="s">
        <v>227</v>
      </c>
      <c r="C33" s="58" t="s">
        <v>35</v>
      </c>
      <c r="D33" s="58" t="s">
        <v>36</v>
      </c>
      <c r="E33" s="58" t="s">
        <v>37</v>
      </c>
      <c r="F33" s="56">
        <v>45663</v>
      </c>
      <c r="G33" s="56">
        <v>45699</v>
      </c>
      <c r="H33" s="58" t="s">
        <v>228</v>
      </c>
      <c r="I33" s="58"/>
      <c r="J33" s="58"/>
      <c r="K33" s="65" t="s">
        <v>229</v>
      </c>
      <c r="L33" s="83" t="s">
        <v>230</v>
      </c>
      <c r="M33" s="58" t="s">
        <v>231</v>
      </c>
      <c r="N33" s="58" t="s">
        <v>232</v>
      </c>
      <c r="O33" s="58" t="s">
        <v>233</v>
      </c>
      <c r="P33" s="56">
        <v>29506</v>
      </c>
      <c r="Q33" s="58" t="s">
        <v>234</v>
      </c>
      <c r="R33" s="58" t="s">
        <v>45</v>
      </c>
      <c r="S33" s="61">
        <v>5000</v>
      </c>
      <c r="T33" s="58"/>
      <c r="U33" s="61"/>
      <c r="V33" s="58"/>
      <c r="W33" s="61"/>
      <c r="X33" s="61"/>
      <c r="Y33" s="61"/>
      <c r="Z33" s="61"/>
      <c r="AA33" s="62">
        <f>SUM(Tabela2[[#This Row],[VALOR DO SERVIÇO CONTRATADO]]+Tabela2[[#This Row],[VALOR]]+Tabela2[[#This Row],[VALOR2]]+Tabela2[[#This Row],[AJUDA DE CUSTO]])+Tabela2[[#This Row],[VALOR3]]</f>
        <v>5000</v>
      </c>
      <c r="AB33" s="60" t="s">
        <v>46</v>
      </c>
      <c r="AC33" s="77">
        <v>12</v>
      </c>
      <c r="AD33" s="60"/>
      <c r="AE33" s="58" t="s">
        <v>47</v>
      </c>
      <c r="AF33" s="58" t="s">
        <v>219</v>
      </c>
      <c r="AG33" s="63" t="s">
        <v>46</v>
      </c>
    </row>
    <row r="34" spans="1:33" s="37" customFormat="1" hidden="1">
      <c r="A34" s="53">
        <v>29</v>
      </c>
      <c r="B34" s="58" t="s">
        <v>235</v>
      </c>
      <c r="C34" s="58" t="s">
        <v>109</v>
      </c>
      <c r="D34" s="58" t="s">
        <v>36</v>
      </c>
      <c r="E34" s="58" t="s">
        <v>58</v>
      </c>
      <c r="F34" s="56">
        <v>45663</v>
      </c>
      <c r="G34" s="56">
        <v>45748</v>
      </c>
      <c r="H34" s="58" t="s">
        <v>236</v>
      </c>
      <c r="I34" s="58"/>
      <c r="J34" s="58"/>
      <c r="K34" s="65" t="s">
        <v>237</v>
      </c>
      <c r="L34" s="58" t="s">
        <v>238</v>
      </c>
      <c r="M34" s="100" t="s">
        <v>239</v>
      </c>
      <c r="N34" s="100" t="s">
        <v>240</v>
      </c>
      <c r="O34" s="58" t="s">
        <v>241</v>
      </c>
      <c r="P34" s="56">
        <v>33144</v>
      </c>
      <c r="Q34" s="58" t="s">
        <v>242</v>
      </c>
      <c r="R34" s="58" t="s">
        <v>45</v>
      </c>
      <c r="S34" s="61">
        <v>3500</v>
      </c>
      <c r="T34" s="58"/>
      <c r="U34" s="61"/>
      <c r="V34" s="58"/>
      <c r="W34" s="61"/>
      <c r="X34" s="61"/>
      <c r="Y34" s="61"/>
      <c r="Z34" s="61"/>
      <c r="AA34" s="62">
        <f>SUM(Tabela2[[#This Row],[VALOR DO SERVIÇO CONTRATADO]]+Tabela2[[#This Row],[VALOR]]+Tabela2[[#This Row],[VALOR2]]+Tabela2[[#This Row],[AJUDA DE CUSTO]])+Tabela2[[#This Row],[VALOR3]]</f>
        <v>3500</v>
      </c>
      <c r="AB34" s="60" t="s">
        <v>46</v>
      </c>
      <c r="AC34" s="77">
        <v>12</v>
      </c>
      <c r="AD34" s="60" t="s">
        <v>243</v>
      </c>
      <c r="AE34" s="58" t="s">
        <v>47</v>
      </c>
      <c r="AF34" s="58" t="s">
        <v>210</v>
      </c>
      <c r="AG34" s="63" t="s">
        <v>46</v>
      </c>
    </row>
    <row r="35" spans="1:33" s="100" customFormat="1" hidden="1">
      <c r="A35" s="53">
        <v>30</v>
      </c>
      <c r="B35" s="58" t="s">
        <v>244</v>
      </c>
      <c r="C35" s="58" t="s">
        <v>109</v>
      </c>
      <c r="D35" s="58" t="s">
        <v>36</v>
      </c>
      <c r="E35" s="55" t="s">
        <v>58</v>
      </c>
      <c r="F35" s="56">
        <v>45627</v>
      </c>
      <c r="G35" s="56">
        <v>45863</v>
      </c>
      <c r="H35" s="58" t="s">
        <v>245</v>
      </c>
      <c r="I35" s="58"/>
      <c r="J35" s="58"/>
      <c r="K35" s="65" t="s">
        <v>246</v>
      </c>
      <c r="L35" s="65" t="s">
        <v>246</v>
      </c>
      <c r="M35" s="58" t="s">
        <v>247</v>
      </c>
      <c r="N35" s="58" t="s">
        <v>248</v>
      </c>
      <c r="O35" s="58" t="s">
        <v>249</v>
      </c>
      <c r="P35" s="56">
        <v>34536</v>
      </c>
      <c r="Q35" s="58" t="s">
        <v>250</v>
      </c>
      <c r="R35" s="58" t="s">
        <v>45</v>
      </c>
      <c r="S35" s="61">
        <v>4500</v>
      </c>
      <c r="T35" s="58"/>
      <c r="U35" s="61"/>
      <c r="V35" s="58"/>
      <c r="W35" s="61"/>
      <c r="X35" s="61"/>
      <c r="Y35" s="61"/>
      <c r="Z35" s="61"/>
      <c r="AA35" s="62">
        <f>SUM(Tabela2[[#This Row],[VALOR DO SERVIÇO CONTRATADO]]+Tabela2[[#This Row],[VALOR]]+Tabela2[[#This Row],[VALOR2]]+Tabela2[[#This Row],[AJUDA DE CUSTO]])+Tabela2[[#This Row],[VALOR3]]</f>
        <v>4500</v>
      </c>
      <c r="AB35" s="60" t="s">
        <v>46</v>
      </c>
      <c r="AC35" s="77">
        <v>12</v>
      </c>
      <c r="AD35" s="60"/>
      <c r="AE35" s="58" t="s">
        <v>73</v>
      </c>
      <c r="AF35" s="58" t="s">
        <v>251</v>
      </c>
      <c r="AG35" s="63" t="s">
        <v>75</v>
      </c>
    </row>
    <row r="36" spans="1:33" s="85" customFormat="1" ht="30.75" hidden="1" customHeight="1">
      <c r="A36" s="86">
        <v>31</v>
      </c>
      <c r="B36" s="87" t="s">
        <v>252</v>
      </c>
      <c r="C36" s="87" t="s">
        <v>109</v>
      </c>
      <c r="D36" s="87" t="s">
        <v>36</v>
      </c>
      <c r="E36" s="88" t="s">
        <v>58</v>
      </c>
      <c r="F36" s="89">
        <v>45677</v>
      </c>
      <c r="G36" s="89">
        <v>45693</v>
      </c>
      <c r="H36" s="87" t="s">
        <v>253</v>
      </c>
      <c r="I36" s="87"/>
      <c r="J36" s="87"/>
      <c r="K36" s="90" t="s">
        <v>254</v>
      </c>
      <c r="L36" s="90" t="s">
        <v>255</v>
      </c>
      <c r="M36" s="87" t="s">
        <v>256</v>
      </c>
      <c r="N36" s="87" t="s">
        <v>257</v>
      </c>
      <c r="O36" s="91" t="s">
        <v>258</v>
      </c>
      <c r="P36" s="89">
        <v>26966</v>
      </c>
      <c r="Q36" s="91" t="s">
        <v>259</v>
      </c>
      <c r="R36" s="87" t="s">
        <v>45</v>
      </c>
      <c r="S36" s="92">
        <v>3500</v>
      </c>
      <c r="T36" s="87"/>
      <c r="U36" s="92"/>
      <c r="V36" s="87"/>
      <c r="W36" s="92"/>
      <c r="X36" s="92"/>
      <c r="Y36" s="92"/>
      <c r="Z36" s="92"/>
      <c r="AA36" s="93">
        <f>SUM(Tabela2[[#This Row],[VALOR DO SERVIÇO CONTRATADO]]+Tabela2[[#This Row],[VALOR]]+Tabela2[[#This Row],[VALOR2]]+Tabela2[[#This Row],[AJUDA DE CUSTO]])+Tabela2[[#This Row],[VALOR3]]</f>
        <v>3500</v>
      </c>
      <c r="AB36" s="94" t="s">
        <v>46</v>
      </c>
      <c r="AC36" s="95">
        <v>12</v>
      </c>
      <c r="AD36" s="94"/>
      <c r="AE36" s="87" t="s">
        <v>47</v>
      </c>
      <c r="AF36" s="87" t="s">
        <v>210</v>
      </c>
      <c r="AG36" s="96" t="s">
        <v>67</v>
      </c>
    </row>
    <row r="37" spans="1:33" s="35" customFormat="1" hidden="1">
      <c r="A37" s="53">
        <v>32</v>
      </c>
      <c r="B37" s="58" t="s">
        <v>260</v>
      </c>
      <c r="C37" s="58" t="s">
        <v>109</v>
      </c>
      <c r="D37" s="58" t="s">
        <v>36</v>
      </c>
      <c r="E37" s="55" t="s">
        <v>37</v>
      </c>
      <c r="F37" s="56">
        <v>45679</v>
      </c>
      <c r="G37" s="56">
        <v>45709</v>
      </c>
      <c r="H37" s="58" t="s">
        <v>261</v>
      </c>
      <c r="I37" s="58"/>
      <c r="J37" s="58"/>
      <c r="K37" s="58"/>
      <c r="L37" s="58" t="s">
        <v>262</v>
      </c>
      <c r="M37" s="97" t="s">
        <v>263</v>
      </c>
      <c r="N37" s="58" t="s">
        <v>264</v>
      </c>
      <c r="O37" s="58" t="s">
        <v>265</v>
      </c>
      <c r="P37" s="56">
        <v>33411</v>
      </c>
      <c r="Q37" s="58" t="s">
        <v>266</v>
      </c>
      <c r="R37" s="58" t="s">
        <v>45</v>
      </c>
      <c r="S37" s="61">
        <v>3500</v>
      </c>
      <c r="T37" s="58"/>
      <c r="U37" s="61"/>
      <c r="V37" s="58"/>
      <c r="W37" s="61"/>
      <c r="X37" s="61"/>
      <c r="Y37" s="61"/>
      <c r="Z37" s="61"/>
      <c r="AA37" s="62">
        <f>SUM(Tabela2[[#This Row],[VALOR DO SERVIÇO CONTRATADO]]+Tabela2[[#This Row],[VALOR]]+Tabela2[[#This Row],[VALOR2]]+Tabela2[[#This Row],[AJUDA DE CUSTO]])+Tabela2[[#This Row],[VALOR3]]</f>
        <v>3500</v>
      </c>
      <c r="AB37" s="60" t="s">
        <v>46</v>
      </c>
      <c r="AC37" s="77">
        <v>12</v>
      </c>
      <c r="AD37" s="60"/>
      <c r="AE37" s="58" t="s">
        <v>47</v>
      </c>
      <c r="AF37" s="58" t="s">
        <v>210</v>
      </c>
      <c r="AG37" s="63" t="s">
        <v>67</v>
      </c>
    </row>
    <row r="38" spans="1:33" s="162" customFormat="1" ht="15.6" hidden="1" customHeight="1">
      <c r="A38" s="53">
        <v>33</v>
      </c>
      <c r="B38" s="131" t="s">
        <v>267</v>
      </c>
      <c r="C38" s="131" t="s">
        <v>109</v>
      </c>
      <c r="D38" s="131" t="s">
        <v>36</v>
      </c>
      <c r="E38" s="155" t="s">
        <v>58</v>
      </c>
      <c r="F38" s="66">
        <v>45687</v>
      </c>
      <c r="G38" s="163">
        <v>45866</v>
      </c>
      <c r="H38" s="131" t="s">
        <v>268</v>
      </c>
      <c r="I38" s="57"/>
      <c r="J38" s="57"/>
      <c r="K38" s="57"/>
      <c r="L38" s="57" t="s">
        <v>269</v>
      </c>
      <c r="M38" s="57" t="s">
        <v>270</v>
      </c>
      <c r="N38" s="57" t="s">
        <v>271</v>
      </c>
      <c r="O38" s="131" t="s">
        <v>272</v>
      </c>
      <c r="P38" s="66">
        <v>30205</v>
      </c>
      <c r="Q38" s="156" t="s">
        <v>273</v>
      </c>
      <c r="R38" s="57" t="s">
        <v>45</v>
      </c>
      <c r="S38" s="157">
        <v>3500</v>
      </c>
      <c r="T38" s="57"/>
      <c r="U38" s="157"/>
      <c r="V38" s="57"/>
      <c r="W38" s="157"/>
      <c r="X38" s="157"/>
      <c r="Y38" s="157"/>
      <c r="Z38" s="157"/>
      <c r="AA38" s="158">
        <f>SUM(Tabela2[[#This Row],[VALOR DO SERVIÇO CONTRATADO]]+Tabela2[[#This Row],[VALOR]]+Tabela2[[#This Row],[VALOR2]]+Tabela2[[#This Row],[AJUDA DE CUSTO]])+Tabela2[[#This Row],[VALOR3]]</f>
        <v>3500</v>
      </c>
      <c r="AB38" s="159" t="s">
        <v>46</v>
      </c>
      <c r="AC38" s="77">
        <v>12</v>
      </c>
      <c r="AD38" s="160"/>
      <c r="AE38" s="131" t="s">
        <v>90</v>
      </c>
      <c r="AF38" s="57" t="s">
        <v>274</v>
      </c>
      <c r="AG38" s="161" t="s">
        <v>75</v>
      </c>
    </row>
    <row r="39" spans="1:33" s="213" customFormat="1" ht="30" hidden="1">
      <c r="A39" s="86">
        <v>34</v>
      </c>
      <c r="B39" s="87" t="s">
        <v>275</v>
      </c>
      <c r="C39" s="87" t="s">
        <v>109</v>
      </c>
      <c r="D39" s="87" t="s">
        <v>36</v>
      </c>
      <c r="E39" s="88" t="s">
        <v>58</v>
      </c>
      <c r="F39" s="89">
        <v>45712</v>
      </c>
      <c r="G39" s="87"/>
      <c r="H39" s="87" t="s">
        <v>276</v>
      </c>
      <c r="I39" s="87" t="s">
        <v>277</v>
      </c>
      <c r="J39" s="87">
        <v>1041</v>
      </c>
      <c r="K39" s="90" t="s">
        <v>278</v>
      </c>
      <c r="L39" s="90" t="s">
        <v>279</v>
      </c>
      <c r="M39" s="87"/>
      <c r="N39" s="87"/>
      <c r="O39" s="87" t="s">
        <v>280</v>
      </c>
      <c r="P39" s="89">
        <v>27987</v>
      </c>
      <c r="Q39" s="91" t="s">
        <v>281</v>
      </c>
      <c r="R39" s="95" t="s">
        <v>45</v>
      </c>
      <c r="S39" s="92">
        <v>8000</v>
      </c>
      <c r="T39" s="87"/>
      <c r="U39" s="92"/>
      <c r="V39" s="87"/>
      <c r="W39" s="92"/>
      <c r="X39" s="92"/>
      <c r="Y39" s="92"/>
      <c r="Z39" s="92"/>
      <c r="AA39" s="93">
        <f>SUM(Tabela2[[#This Row],[VALOR DO SERVIÇO CONTRATADO]]+Tabela2[[#This Row],[VALOR]]+Tabela2[[#This Row],[VALOR2]]+Tabela2[[#This Row],[AJUDA DE CUSTO]])+Tabela2[[#This Row],[VALOR3]]</f>
        <v>8000</v>
      </c>
      <c r="AB39" s="94" t="s">
        <v>46</v>
      </c>
      <c r="AC39" s="95">
        <v>12</v>
      </c>
      <c r="AD39" s="212" t="s">
        <v>282</v>
      </c>
      <c r="AE39" s="87" t="s">
        <v>91</v>
      </c>
      <c r="AF39" s="87" t="s">
        <v>283</v>
      </c>
      <c r="AG39" s="96" t="s">
        <v>75</v>
      </c>
    </row>
    <row r="40" spans="1:33" s="35" customFormat="1" hidden="1">
      <c r="A40" s="53">
        <v>35</v>
      </c>
      <c r="B40" s="58" t="s">
        <v>284</v>
      </c>
      <c r="C40" s="58" t="s">
        <v>109</v>
      </c>
      <c r="D40" s="58" t="s">
        <v>36</v>
      </c>
      <c r="E40" s="55" t="s">
        <v>58</v>
      </c>
      <c r="F40" s="56">
        <v>45733</v>
      </c>
      <c r="G40" s="56">
        <v>45741</v>
      </c>
      <c r="H40" s="58" t="s">
        <v>285</v>
      </c>
      <c r="I40" s="58"/>
      <c r="J40" s="58"/>
      <c r="K40" s="58"/>
      <c r="L40" s="65" t="s">
        <v>286</v>
      </c>
      <c r="M40" s="58" t="s">
        <v>287</v>
      </c>
      <c r="N40" s="58" t="s">
        <v>288</v>
      </c>
      <c r="O40" s="58" t="s">
        <v>289</v>
      </c>
      <c r="P40" s="56">
        <v>27496</v>
      </c>
      <c r="Q40" s="58" t="s">
        <v>290</v>
      </c>
      <c r="R40" s="58" t="s">
        <v>45</v>
      </c>
      <c r="S40" s="61">
        <v>3500</v>
      </c>
      <c r="T40" s="58"/>
      <c r="U40" s="61"/>
      <c r="V40" s="58"/>
      <c r="W40" s="61"/>
      <c r="X40" s="61"/>
      <c r="Y40" s="61"/>
      <c r="Z40" s="61"/>
      <c r="AA40" s="62">
        <f>SUM(Tabela2[[#This Row],[VALOR DO SERVIÇO CONTRATADO]]+Tabela2[[#This Row],[VALOR]]+Tabela2[[#This Row],[VALOR2]]+Tabela2[[#This Row],[AJUDA DE CUSTO]])+Tabela2[[#This Row],[VALOR3]]</f>
        <v>3500</v>
      </c>
      <c r="AB40" s="60" t="s">
        <v>46</v>
      </c>
      <c r="AC40" s="77">
        <v>12</v>
      </c>
      <c r="AD40" s="60"/>
      <c r="AE40" s="58" t="s">
        <v>47</v>
      </c>
      <c r="AF40" s="58" t="s">
        <v>210</v>
      </c>
      <c r="AG40" s="63" t="s">
        <v>46</v>
      </c>
    </row>
    <row r="41" spans="1:33" hidden="1">
      <c r="A41" s="75">
        <v>36</v>
      </c>
      <c r="B41" s="58" t="s">
        <v>291</v>
      </c>
      <c r="C41" s="58" t="s">
        <v>35</v>
      </c>
      <c r="D41" s="58" t="s">
        <v>36</v>
      </c>
      <c r="E41" s="55" t="s">
        <v>58</v>
      </c>
      <c r="F41" s="56">
        <v>45733</v>
      </c>
      <c r="G41" s="56">
        <v>45740</v>
      </c>
      <c r="H41" s="58" t="s">
        <v>292</v>
      </c>
      <c r="I41" s="58"/>
      <c r="J41" s="58"/>
      <c r="K41" s="58"/>
      <c r="L41" s="58" t="s">
        <v>293</v>
      </c>
      <c r="M41" s="58" t="s">
        <v>294</v>
      </c>
      <c r="N41" s="58" t="s">
        <v>295</v>
      </c>
      <c r="O41" s="58" t="s">
        <v>296</v>
      </c>
      <c r="P41" s="56">
        <v>29249</v>
      </c>
      <c r="Q41" s="99" t="s">
        <v>297</v>
      </c>
      <c r="R41" s="58" t="s">
        <v>45</v>
      </c>
      <c r="S41" s="61">
        <v>3500</v>
      </c>
      <c r="T41" s="58"/>
      <c r="U41" s="61"/>
      <c r="V41" s="58"/>
      <c r="W41" s="61"/>
      <c r="X41" s="61"/>
      <c r="Y41" s="61"/>
      <c r="Z41" s="61"/>
      <c r="AA41" s="62">
        <f>SUM(Tabela2[[#This Row],[VALOR DO SERVIÇO CONTRATADO]]+Tabela2[[#This Row],[VALOR]]+Tabela2[[#This Row],[VALOR2]]+Tabela2[[#This Row],[AJUDA DE CUSTO]])+Tabela2[[#This Row],[VALOR3]]</f>
        <v>3500</v>
      </c>
      <c r="AB41" s="60" t="s">
        <v>46</v>
      </c>
      <c r="AC41" s="77">
        <v>12</v>
      </c>
      <c r="AD41" s="60"/>
      <c r="AE41" s="58" t="s">
        <v>47</v>
      </c>
      <c r="AF41" s="58" t="s">
        <v>210</v>
      </c>
      <c r="AG41" s="63" t="s">
        <v>67</v>
      </c>
    </row>
    <row r="42" spans="1:33" s="35" customFormat="1" hidden="1">
      <c r="A42" s="53">
        <v>37</v>
      </c>
      <c r="B42" s="58" t="s">
        <v>298</v>
      </c>
      <c r="C42" s="58" t="s">
        <v>35</v>
      </c>
      <c r="D42" s="58" t="s">
        <v>36</v>
      </c>
      <c r="E42" s="55" t="s">
        <v>58</v>
      </c>
      <c r="F42" s="56">
        <v>45733</v>
      </c>
      <c r="G42" s="56">
        <v>45747</v>
      </c>
      <c r="H42" s="58" t="s">
        <v>299</v>
      </c>
      <c r="I42" s="58"/>
      <c r="J42" s="58"/>
      <c r="K42" s="58"/>
      <c r="L42" s="65" t="s">
        <v>300</v>
      </c>
      <c r="M42" s="58" t="s">
        <v>301</v>
      </c>
      <c r="N42" s="58" t="s">
        <v>302</v>
      </c>
      <c r="O42" s="58" t="s">
        <v>303</v>
      </c>
      <c r="P42" s="56">
        <v>23025</v>
      </c>
      <c r="Q42" s="58" t="s">
        <v>304</v>
      </c>
      <c r="R42" s="58" t="s">
        <v>45</v>
      </c>
      <c r="S42" s="61">
        <v>3500</v>
      </c>
      <c r="T42" s="58"/>
      <c r="U42" s="61"/>
      <c r="V42" s="58"/>
      <c r="W42" s="61"/>
      <c r="X42" s="61"/>
      <c r="Y42" s="61"/>
      <c r="Z42" s="61"/>
      <c r="AA42" s="62">
        <f>SUM(Tabela2[[#This Row],[VALOR DO SERVIÇO CONTRATADO]]+Tabela2[[#This Row],[VALOR]]+Tabela2[[#This Row],[VALOR2]]+Tabela2[[#This Row],[AJUDA DE CUSTO]])+Tabela2[[#This Row],[VALOR3]]</f>
        <v>3500</v>
      </c>
      <c r="AB42" s="60" t="s">
        <v>46</v>
      </c>
      <c r="AC42" s="77">
        <v>12</v>
      </c>
      <c r="AD42" s="60"/>
      <c r="AE42" s="58" t="s">
        <v>47</v>
      </c>
      <c r="AF42" s="58" t="s">
        <v>210</v>
      </c>
      <c r="AG42" s="63" t="s">
        <v>46</v>
      </c>
    </row>
    <row r="43" spans="1:33" s="100" customFormat="1" hidden="1">
      <c r="A43" s="53">
        <v>38</v>
      </c>
      <c r="B43" s="58" t="s">
        <v>305</v>
      </c>
      <c r="C43" s="58" t="s">
        <v>179</v>
      </c>
      <c r="D43" s="58" t="s">
        <v>36</v>
      </c>
      <c r="E43" s="55" t="s">
        <v>58</v>
      </c>
      <c r="F43" s="56">
        <v>45726</v>
      </c>
      <c r="G43" s="58"/>
      <c r="H43" s="58" t="s">
        <v>306</v>
      </c>
      <c r="I43" s="58"/>
      <c r="J43" s="58"/>
      <c r="K43" s="58"/>
      <c r="L43" s="65" t="s">
        <v>307</v>
      </c>
      <c r="M43" s="58"/>
      <c r="N43" s="103"/>
      <c r="O43" s="103" t="s">
        <v>308</v>
      </c>
      <c r="P43" s="56">
        <v>30511</v>
      </c>
      <c r="Q43" s="58" t="s">
        <v>309</v>
      </c>
      <c r="R43" s="58" t="s">
        <v>45</v>
      </c>
      <c r="S43" s="61">
        <v>2500</v>
      </c>
      <c r="T43" s="58"/>
      <c r="U43" s="61"/>
      <c r="V43" s="58"/>
      <c r="W43" s="61"/>
      <c r="X43" s="61"/>
      <c r="Y43" s="61"/>
      <c r="Z43" s="61"/>
      <c r="AA43" s="62">
        <f>SUM(Tabela2[[#This Row],[VALOR DO SERVIÇO CONTRATADO]]+Tabela2[[#This Row],[VALOR]]+Tabela2[[#This Row],[VALOR2]]+Tabela2[[#This Row],[AJUDA DE CUSTO]])+Tabela2[[#This Row],[VALOR3]]</f>
        <v>2500</v>
      </c>
      <c r="AB43" s="60" t="s">
        <v>46</v>
      </c>
      <c r="AC43" s="77">
        <v>12</v>
      </c>
      <c r="AD43" s="60"/>
      <c r="AE43" s="58" t="s">
        <v>91</v>
      </c>
      <c r="AF43" s="58" t="s">
        <v>310</v>
      </c>
      <c r="AG43" s="63" t="s">
        <v>75</v>
      </c>
    </row>
    <row r="44" spans="1:33" s="100" customFormat="1" ht="27.95" hidden="1" customHeight="1">
      <c r="A44" s="53">
        <v>39</v>
      </c>
      <c r="B44" s="58" t="s">
        <v>311</v>
      </c>
      <c r="C44" s="58"/>
      <c r="D44" s="58" t="s">
        <v>36</v>
      </c>
      <c r="E44" s="55" t="s">
        <v>58</v>
      </c>
      <c r="F44" s="56">
        <v>45705</v>
      </c>
      <c r="G44" s="201">
        <v>45778</v>
      </c>
      <c r="H44" s="58"/>
      <c r="I44" s="58"/>
      <c r="J44" s="58"/>
      <c r="K44" s="58"/>
      <c r="L44" s="58"/>
      <c r="M44" s="63"/>
      <c r="N44" s="58"/>
      <c r="O44" s="58"/>
      <c r="P44" s="56">
        <v>38061</v>
      </c>
      <c r="Q44" s="99"/>
      <c r="R44" s="58"/>
      <c r="S44" s="61">
        <v>2700</v>
      </c>
      <c r="T44" s="58"/>
      <c r="U44" s="61"/>
      <c r="V44" s="58"/>
      <c r="W44" s="61"/>
      <c r="X44" s="61"/>
      <c r="Y44" s="61"/>
      <c r="Z44" s="61"/>
      <c r="AA44" s="62">
        <f>SUM(Tabela2[[#This Row],[VALOR DO SERVIÇO CONTRATADO]]+Tabela2[[#This Row],[VALOR]]+Tabela2[[#This Row],[VALOR2]]+Tabela2[[#This Row],[AJUDA DE CUSTO]])+Tabela2[[#This Row],[VALOR3]]</f>
        <v>2700</v>
      </c>
      <c r="AB44" s="60"/>
      <c r="AC44" s="77">
        <v>12</v>
      </c>
      <c r="AD44" s="60"/>
      <c r="AE44" s="58" t="s">
        <v>91</v>
      </c>
      <c r="AF44" s="58"/>
      <c r="AG44" s="63"/>
    </row>
    <row r="45" spans="1:33" hidden="1">
      <c r="A45" s="75">
        <v>40</v>
      </c>
      <c r="B45" s="58" t="s">
        <v>312</v>
      </c>
      <c r="C45" s="58" t="s">
        <v>109</v>
      </c>
      <c r="D45" s="58" t="s">
        <v>36</v>
      </c>
      <c r="E45" s="55" t="s">
        <v>37</v>
      </c>
      <c r="F45" s="56">
        <v>45782</v>
      </c>
      <c r="G45" s="56">
        <v>45782</v>
      </c>
      <c r="H45" s="100" t="s">
        <v>313</v>
      </c>
      <c r="I45" s="58"/>
      <c r="J45" s="58"/>
      <c r="K45" s="58"/>
      <c r="L45" s="65" t="s">
        <v>314</v>
      </c>
      <c r="M45" s="100" t="s">
        <v>315</v>
      </c>
      <c r="N45" s="100" t="s">
        <v>316</v>
      </c>
      <c r="O45" s="164" t="s">
        <v>317</v>
      </c>
      <c r="P45" s="101">
        <v>26643</v>
      </c>
      <c r="Q45" s="58" t="s">
        <v>318</v>
      </c>
      <c r="R45" s="58" t="s">
        <v>45</v>
      </c>
      <c r="S45" s="61">
        <v>3500</v>
      </c>
      <c r="T45" s="58"/>
      <c r="U45" s="61"/>
      <c r="V45" s="58"/>
      <c r="W45" s="61"/>
      <c r="X45" s="61"/>
      <c r="Y45" s="61"/>
      <c r="Z45" s="61"/>
      <c r="AA45" s="62">
        <f>SUM(Tabela2[[#This Row],[VALOR DO SERVIÇO CONTRATADO]]+Tabela2[[#This Row],[VALOR]]+Tabela2[[#This Row],[VALOR2]]+Tabela2[[#This Row],[AJUDA DE CUSTO]])+Tabela2[[#This Row],[VALOR3]]</f>
        <v>3500</v>
      </c>
      <c r="AB45" s="60" t="s">
        <v>46</v>
      </c>
      <c r="AC45" s="77">
        <v>12</v>
      </c>
      <c r="AD45" s="60"/>
      <c r="AE45" s="58" t="s">
        <v>47</v>
      </c>
      <c r="AF45" s="58" t="s">
        <v>319</v>
      </c>
      <c r="AG45" s="63" t="s">
        <v>46</v>
      </c>
    </row>
    <row r="46" spans="1:33" hidden="1">
      <c r="A46" s="53">
        <v>41</v>
      </c>
      <c r="B46" s="58" t="s">
        <v>320</v>
      </c>
      <c r="C46" s="58" t="s">
        <v>179</v>
      </c>
      <c r="D46" s="58" t="s">
        <v>36</v>
      </c>
      <c r="E46" s="55" t="s">
        <v>58</v>
      </c>
      <c r="F46" s="56">
        <v>45778</v>
      </c>
      <c r="G46" s="58"/>
      <c r="H46" s="58"/>
      <c r="I46" s="58"/>
      <c r="J46" s="58"/>
      <c r="K46" s="58"/>
      <c r="L46" s="65" t="s">
        <v>321</v>
      </c>
      <c r="M46" s="63" t="s">
        <v>322</v>
      </c>
      <c r="N46" s="58" t="s">
        <v>323</v>
      </c>
      <c r="O46" s="58" t="s">
        <v>324</v>
      </c>
      <c r="P46" s="56">
        <v>38082</v>
      </c>
      <c r="Q46" s="99" t="s">
        <v>325</v>
      </c>
      <c r="R46" s="58" t="s">
        <v>45</v>
      </c>
      <c r="S46" s="61">
        <v>2500</v>
      </c>
      <c r="T46" s="58"/>
      <c r="U46" s="61"/>
      <c r="V46" s="58"/>
      <c r="W46" s="61"/>
      <c r="X46" s="61"/>
      <c r="Y46" s="61"/>
      <c r="Z46" s="61"/>
      <c r="AA46" s="62">
        <f>SUM(Tabela2[[#This Row],[VALOR DO SERVIÇO CONTRATADO]]+Tabela2[[#This Row],[VALOR]]+Tabela2[[#This Row],[VALOR2]]+Tabela2[[#This Row],[AJUDA DE CUSTO]])+Tabela2[[#This Row],[VALOR3]]</f>
        <v>2500</v>
      </c>
      <c r="AB46" s="60" t="s">
        <v>46</v>
      </c>
      <c r="AC46" s="77">
        <v>12</v>
      </c>
      <c r="AD46" s="60"/>
      <c r="AE46" s="58" t="s">
        <v>91</v>
      </c>
      <c r="AF46" s="58" t="s">
        <v>310</v>
      </c>
      <c r="AG46" s="63" t="s">
        <v>75</v>
      </c>
    </row>
    <row r="47" spans="1:33" s="37" customFormat="1" hidden="1">
      <c r="A47" s="102">
        <v>42</v>
      </c>
      <c r="B47" s="103" t="s">
        <v>326</v>
      </c>
      <c r="C47" s="103" t="s">
        <v>35</v>
      </c>
      <c r="D47" s="103" t="s">
        <v>36</v>
      </c>
      <c r="E47" s="104" t="s">
        <v>58</v>
      </c>
      <c r="F47" s="105">
        <v>45775</v>
      </c>
      <c r="G47" s="105">
        <v>45803</v>
      </c>
      <c r="H47" s="103" t="s">
        <v>327</v>
      </c>
      <c r="I47" s="103"/>
      <c r="J47" s="103"/>
      <c r="K47" s="103"/>
      <c r="L47" s="106" t="s">
        <v>328</v>
      </c>
      <c r="M47" s="103" t="s">
        <v>329</v>
      </c>
      <c r="N47" s="164" t="s">
        <v>330</v>
      </c>
      <c r="O47" s="164" t="s">
        <v>331</v>
      </c>
      <c r="P47" s="105">
        <v>32073</v>
      </c>
      <c r="Q47" s="103" t="s">
        <v>332</v>
      </c>
      <c r="R47" s="103" t="s">
        <v>45</v>
      </c>
      <c r="S47" s="107">
        <v>3500</v>
      </c>
      <c r="T47" s="103"/>
      <c r="U47" s="107"/>
      <c r="V47" s="103"/>
      <c r="W47" s="107"/>
      <c r="X47" s="107"/>
      <c r="Y47" s="107"/>
      <c r="Z47" s="107"/>
      <c r="AA47" s="108">
        <f>SUM(Tabela2[[#This Row],[VALOR DO SERVIÇO CONTRATADO]]+Tabela2[[#This Row],[VALOR]]+Tabela2[[#This Row],[VALOR2]]+Tabela2[[#This Row],[AJUDA DE CUSTO]])+Tabela2[[#This Row],[VALOR3]]</f>
        <v>3500</v>
      </c>
      <c r="AB47" s="109" t="s">
        <v>46</v>
      </c>
      <c r="AC47" s="110">
        <v>12</v>
      </c>
      <c r="AD47" s="109"/>
      <c r="AE47" s="103" t="s">
        <v>47</v>
      </c>
      <c r="AF47" s="103" t="s">
        <v>210</v>
      </c>
      <c r="AG47" s="111" t="s">
        <v>67</v>
      </c>
    </row>
    <row r="48" spans="1:33" s="44" customFormat="1" ht="50.25" hidden="1" customHeight="1">
      <c r="A48" s="86">
        <v>43</v>
      </c>
      <c r="B48" s="87" t="s">
        <v>333</v>
      </c>
      <c r="C48" s="87" t="s">
        <v>109</v>
      </c>
      <c r="D48" s="87" t="s">
        <v>36</v>
      </c>
      <c r="E48" s="87" t="s">
        <v>58</v>
      </c>
      <c r="F48" s="89">
        <v>45782</v>
      </c>
      <c r="G48" s="89">
        <v>45797</v>
      </c>
      <c r="H48" s="87" t="s">
        <v>334</v>
      </c>
      <c r="I48" s="87"/>
      <c r="J48" s="87"/>
      <c r="K48" s="87"/>
      <c r="L48" s="90" t="s">
        <v>335</v>
      </c>
      <c r="M48" s="87" t="s">
        <v>336</v>
      </c>
      <c r="N48" s="87" t="s">
        <v>337</v>
      </c>
      <c r="O48" s="87" t="s">
        <v>338</v>
      </c>
      <c r="P48" s="89">
        <v>33760</v>
      </c>
      <c r="Q48" s="91" t="s">
        <v>339</v>
      </c>
      <c r="R48" s="87" t="s">
        <v>45</v>
      </c>
      <c r="S48" s="92">
        <v>3500</v>
      </c>
      <c r="T48" s="87"/>
      <c r="U48" s="92"/>
      <c r="V48" s="87"/>
      <c r="W48" s="92"/>
      <c r="X48" s="92"/>
      <c r="Y48" s="92"/>
      <c r="Z48" s="92"/>
      <c r="AA48" s="93">
        <f>SUM(Tabela2[[#This Row],[VALOR DO SERVIÇO CONTRATADO]]+Tabela2[[#This Row],[VALOR]]+Tabela2[[#This Row],[VALOR2]]+Tabela2[[#This Row],[AJUDA DE CUSTO]])+Tabela2[[#This Row],[VALOR3]]</f>
        <v>3500</v>
      </c>
      <c r="AB48" s="94" t="s">
        <v>46</v>
      </c>
      <c r="AC48" s="95">
        <v>12</v>
      </c>
      <c r="AD48" s="94"/>
      <c r="AE48" s="87" t="s">
        <v>47</v>
      </c>
      <c r="AF48" s="87" t="s">
        <v>210</v>
      </c>
      <c r="AG48" s="87" t="s">
        <v>340</v>
      </c>
    </row>
    <row r="49" spans="1:1214" hidden="1">
      <c r="A49" s="112">
        <v>44</v>
      </c>
      <c r="B49" s="133" t="s">
        <v>341</v>
      </c>
      <c r="C49" s="133" t="s">
        <v>35</v>
      </c>
      <c r="D49" s="133" t="s">
        <v>36</v>
      </c>
      <c r="E49" s="134" t="s">
        <v>37</v>
      </c>
      <c r="F49" s="135">
        <v>45782</v>
      </c>
      <c r="G49" s="135">
        <v>45832</v>
      </c>
      <c r="H49" s="133" t="s">
        <v>342</v>
      </c>
      <c r="I49" s="133"/>
      <c r="J49" s="133"/>
      <c r="K49" s="133"/>
      <c r="L49" s="136" t="s">
        <v>343</v>
      </c>
      <c r="M49" s="133" t="s">
        <v>344</v>
      </c>
      <c r="N49" s="164" t="s">
        <v>345</v>
      </c>
      <c r="O49" s="164" t="s">
        <v>346</v>
      </c>
      <c r="P49" s="135">
        <v>30848</v>
      </c>
      <c r="Q49" s="133" t="s">
        <v>347</v>
      </c>
      <c r="R49" s="133" t="s">
        <v>45</v>
      </c>
      <c r="S49" s="137">
        <v>3500</v>
      </c>
      <c r="T49" s="133"/>
      <c r="U49" s="137"/>
      <c r="V49" s="133"/>
      <c r="W49" s="137"/>
      <c r="X49" s="137"/>
      <c r="Y49" s="137"/>
      <c r="Z49" s="137"/>
      <c r="AA49" s="138">
        <f>SUM(Tabela2[[#This Row],[VALOR DO SERVIÇO CONTRATADO]]+Tabela2[[#This Row],[VALOR]]+Tabela2[[#This Row],[VALOR2]]+Tabela2[[#This Row],[AJUDA DE CUSTO]])+Tabela2[[#This Row],[VALOR3]]</f>
        <v>3500</v>
      </c>
      <c r="AB49" s="139" t="s">
        <v>46</v>
      </c>
      <c r="AC49" s="140">
        <v>12</v>
      </c>
      <c r="AD49" s="139"/>
      <c r="AE49" s="133" t="s">
        <v>47</v>
      </c>
      <c r="AF49" s="133" t="s">
        <v>348</v>
      </c>
      <c r="AG49" s="141" t="s">
        <v>340</v>
      </c>
    </row>
    <row r="50" spans="1:1214" hidden="1">
      <c r="A50" s="148">
        <v>45</v>
      </c>
      <c r="B50" s="142" t="s">
        <v>349</v>
      </c>
      <c r="C50" s="142" t="s">
        <v>109</v>
      </c>
      <c r="D50" s="142" t="s">
        <v>36</v>
      </c>
      <c r="E50" s="149" t="s">
        <v>37</v>
      </c>
      <c r="F50" s="143">
        <v>45811</v>
      </c>
      <c r="G50" s="143">
        <v>45840</v>
      </c>
      <c r="H50" s="142" t="s">
        <v>350</v>
      </c>
      <c r="I50" s="142"/>
      <c r="J50" s="142"/>
      <c r="K50" s="144" t="s">
        <v>351</v>
      </c>
      <c r="L50" s="142" t="s">
        <v>352</v>
      </c>
      <c r="M50" s="150" t="s">
        <v>353</v>
      </c>
      <c r="N50" s="142" t="s">
        <v>354</v>
      </c>
      <c r="O50" s="142" t="s">
        <v>355</v>
      </c>
      <c r="P50" s="143">
        <v>32347</v>
      </c>
      <c r="Q50" s="142" t="s">
        <v>356</v>
      </c>
      <c r="R50" s="142" t="s">
        <v>45</v>
      </c>
      <c r="S50" s="146">
        <v>3500</v>
      </c>
      <c r="T50" s="142"/>
      <c r="U50" s="146"/>
      <c r="V50" s="142"/>
      <c r="W50" s="146"/>
      <c r="X50" s="146"/>
      <c r="Y50" s="146"/>
      <c r="Z50" s="146"/>
      <c r="AA50" s="147">
        <f>SUM(Tabela2[[#This Row],[VALOR DO SERVIÇO CONTRATADO]]+Tabela2[[#This Row],[VALOR]]+Tabela2[[#This Row],[VALOR2]]+Tabela2[[#This Row],[AJUDA DE CUSTO]])+Tabela2[[#This Row],[VALOR3]]</f>
        <v>3500</v>
      </c>
      <c r="AB50" s="151" t="s">
        <v>46</v>
      </c>
      <c r="AC50" s="152">
        <v>12</v>
      </c>
      <c r="AD50" s="151"/>
      <c r="AE50" s="142" t="s">
        <v>47</v>
      </c>
      <c r="AF50" s="142" t="s">
        <v>319</v>
      </c>
      <c r="AG50" s="153" t="s">
        <v>46</v>
      </c>
    </row>
    <row r="51" spans="1:1214" s="100" customFormat="1" hidden="1">
      <c r="A51" s="112">
        <v>46</v>
      </c>
      <c r="B51" s="58" t="s">
        <v>357</v>
      </c>
      <c r="C51" s="58" t="s">
        <v>35</v>
      </c>
      <c r="D51" s="58" t="s">
        <v>36</v>
      </c>
      <c r="E51" s="55" t="s">
        <v>37</v>
      </c>
      <c r="F51" s="56">
        <v>45810</v>
      </c>
      <c r="G51" s="56">
        <v>45882</v>
      </c>
      <c r="H51" s="58" t="s">
        <v>358</v>
      </c>
      <c r="I51" s="58"/>
      <c r="J51" s="58"/>
      <c r="K51" s="65" t="s">
        <v>359</v>
      </c>
      <c r="L51" s="58" t="s">
        <v>360</v>
      </c>
      <c r="M51" s="100" t="s">
        <v>361</v>
      </c>
      <c r="N51" s="58" t="s">
        <v>362</v>
      </c>
      <c r="O51" s="58" t="s">
        <v>363</v>
      </c>
      <c r="P51" s="56">
        <v>32029</v>
      </c>
      <c r="Q51" s="58" t="s">
        <v>364</v>
      </c>
      <c r="R51" s="58" t="s">
        <v>45</v>
      </c>
      <c r="S51" s="61">
        <v>3500</v>
      </c>
      <c r="T51" s="58"/>
      <c r="U51" s="61"/>
      <c r="V51" s="58"/>
      <c r="W51" s="61"/>
      <c r="X51" s="61"/>
      <c r="Y51" s="61"/>
      <c r="Z51" s="61"/>
      <c r="AA51" s="62">
        <f>SUM(Tabela2[[#This Row],[VALOR DO SERVIÇO CONTRATADO]]+Tabela2[[#This Row],[VALOR]]+Tabela2[[#This Row],[VALOR2]]+Tabela2[[#This Row],[AJUDA DE CUSTO]])+Tabela2[[#This Row],[VALOR3]]</f>
        <v>3500</v>
      </c>
      <c r="AB51" s="60" t="s">
        <v>46</v>
      </c>
      <c r="AC51" s="77">
        <v>12</v>
      </c>
      <c r="AD51" s="60"/>
      <c r="AE51" s="58" t="s">
        <v>47</v>
      </c>
      <c r="AF51" s="58" t="s">
        <v>319</v>
      </c>
      <c r="AG51" s="63" t="s">
        <v>46</v>
      </c>
      <c r="AH51" s="165"/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65"/>
      <c r="BD51" s="165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165"/>
      <c r="BV51" s="165"/>
      <c r="BW51" s="165"/>
      <c r="BX51" s="165"/>
      <c r="BY51" s="165"/>
      <c r="BZ51" s="165"/>
      <c r="CA51" s="165"/>
      <c r="CB51" s="165"/>
      <c r="CC51" s="165"/>
      <c r="CD51" s="165"/>
      <c r="CE51" s="165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5"/>
      <c r="CY51" s="165"/>
      <c r="CZ51" s="165"/>
      <c r="DA51" s="165"/>
      <c r="DB51" s="165"/>
      <c r="DC51" s="165"/>
      <c r="DD51" s="165"/>
      <c r="DE51" s="165"/>
      <c r="DF51" s="165"/>
      <c r="DG51" s="165"/>
      <c r="DH51" s="165"/>
      <c r="DI51" s="165"/>
      <c r="DJ51" s="165"/>
      <c r="DK51" s="165"/>
      <c r="DL51" s="165"/>
      <c r="DM51" s="165"/>
      <c r="DN51" s="165"/>
      <c r="DO51" s="165"/>
      <c r="DP51" s="165"/>
      <c r="DQ51" s="165"/>
      <c r="DR51" s="165"/>
      <c r="DS51" s="165"/>
      <c r="DT51" s="165"/>
      <c r="DU51" s="165"/>
      <c r="DV51" s="165"/>
      <c r="DW51" s="165"/>
      <c r="DX51" s="165"/>
      <c r="DY51" s="165"/>
      <c r="DZ51" s="165"/>
      <c r="EA51" s="165"/>
      <c r="EB51" s="165"/>
      <c r="EC51" s="165"/>
      <c r="ED51" s="165"/>
      <c r="EE51" s="165"/>
      <c r="EF51" s="165"/>
      <c r="EG51" s="165"/>
      <c r="EH51" s="165"/>
      <c r="EI51" s="165"/>
      <c r="EJ51" s="165"/>
      <c r="EK51" s="165"/>
      <c r="EL51" s="165"/>
      <c r="EM51" s="165"/>
      <c r="EN51" s="165"/>
      <c r="EO51" s="165"/>
      <c r="EP51" s="165"/>
      <c r="EQ51" s="165"/>
      <c r="ER51" s="165"/>
      <c r="ES51" s="165"/>
      <c r="ET51" s="165"/>
      <c r="EU51" s="165"/>
      <c r="EV51" s="165"/>
      <c r="EW51" s="165"/>
      <c r="EX51" s="165"/>
      <c r="EY51" s="165"/>
      <c r="EZ51" s="165"/>
      <c r="FA51" s="165"/>
      <c r="FB51" s="165"/>
      <c r="FC51" s="165"/>
      <c r="FD51" s="165"/>
      <c r="FE51" s="165"/>
      <c r="FF51" s="165"/>
      <c r="FG51" s="165"/>
      <c r="FH51" s="165"/>
      <c r="FI51" s="165"/>
      <c r="FJ51" s="165"/>
      <c r="FK51" s="165"/>
      <c r="FL51" s="165"/>
      <c r="FM51" s="165"/>
      <c r="FN51" s="165"/>
      <c r="FO51" s="165"/>
      <c r="FP51" s="165"/>
      <c r="FQ51" s="165"/>
      <c r="FR51" s="165"/>
      <c r="FS51" s="165"/>
      <c r="FT51" s="165"/>
      <c r="FU51" s="165"/>
      <c r="FV51" s="165"/>
      <c r="FW51" s="165"/>
      <c r="FX51" s="165"/>
      <c r="FY51" s="165"/>
      <c r="FZ51" s="165"/>
      <c r="GA51" s="165"/>
      <c r="GB51" s="165"/>
      <c r="GC51" s="165"/>
      <c r="GD51" s="165"/>
      <c r="GE51" s="165"/>
      <c r="GF51" s="165"/>
      <c r="GG51" s="165"/>
      <c r="GH51" s="165"/>
      <c r="GI51" s="165"/>
      <c r="GJ51" s="165"/>
      <c r="GK51" s="165"/>
      <c r="GL51" s="165"/>
      <c r="GM51" s="165"/>
      <c r="GN51" s="165"/>
      <c r="GO51" s="165"/>
      <c r="GP51" s="165"/>
      <c r="GQ51" s="165"/>
      <c r="GR51" s="165"/>
      <c r="GS51" s="165"/>
      <c r="GT51" s="165"/>
      <c r="GU51" s="165"/>
      <c r="GV51" s="165"/>
      <c r="GW51" s="165"/>
      <c r="GX51" s="165"/>
      <c r="GY51" s="165"/>
      <c r="GZ51" s="165"/>
      <c r="HA51" s="165"/>
      <c r="HB51" s="165"/>
      <c r="HC51" s="165"/>
      <c r="HD51" s="165"/>
      <c r="HE51" s="165"/>
      <c r="HF51" s="165"/>
      <c r="HG51" s="165"/>
      <c r="HH51" s="165"/>
      <c r="HI51" s="165"/>
      <c r="HJ51" s="165"/>
      <c r="HK51" s="165"/>
      <c r="HL51" s="165"/>
      <c r="HM51" s="165"/>
      <c r="HN51" s="165"/>
      <c r="HO51" s="165"/>
      <c r="HP51" s="165"/>
      <c r="HQ51" s="165"/>
      <c r="HR51" s="165"/>
      <c r="HS51" s="165"/>
      <c r="HT51" s="165"/>
      <c r="HU51" s="165"/>
      <c r="HV51" s="165"/>
      <c r="HW51" s="165"/>
      <c r="HX51" s="165"/>
      <c r="HY51" s="165"/>
      <c r="HZ51" s="165"/>
      <c r="IA51" s="165"/>
      <c r="IB51" s="165"/>
      <c r="IC51" s="165"/>
      <c r="ID51" s="165"/>
      <c r="IE51" s="165"/>
      <c r="IF51" s="165"/>
      <c r="IG51" s="165"/>
      <c r="IH51" s="165"/>
      <c r="II51" s="165"/>
      <c r="IJ51" s="165"/>
      <c r="IK51" s="165"/>
      <c r="IL51" s="165"/>
      <c r="IM51" s="165"/>
      <c r="IN51" s="165"/>
      <c r="IO51" s="165"/>
      <c r="IP51" s="165"/>
      <c r="IQ51" s="165"/>
      <c r="IR51" s="165"/>
      <c r="IS51" s="165"/>
      <c r="IT51" s="165"/>
      <c r="IU51" s="165"/>
      <c r="IV51" s="165"/>
      <c r="IW51" s="165"/>
      <c r="IX51" s="165"/>
      <c r="IY51" s="165"/>
      <c r="IZ51" s="165"/>
      <c r="JA51" s="165"/>
      <c r="JB51" s="165"/>
      <c r="JC51" s="165"/>
      <c r="JD51" s="165"/>
      <c r="JE51" s="165"/>
      <c r="JF51" s="165"/>
      <c r="JG51" s="165"/>
      <c r="JH51" s="165"/>
      <c r="JI51" s="165"/>
      <c r="JJ51" s="165"/>
      <c r="JK51" s="165"/>
      <c r="JL51" s="165"/>
      <c r="JM51" s="165"/>
      <c r="JN51" s="165"/>
      <c r="JO51" s="165"/>
      <c r="JP51" s="165"/>
      <c r="JQ51" s="165"/>
      <c r="JR51" s="165"/>
      <c r="JS51" s="165"/>
      <c r="JT51" s="165"/>
      <c r="JU51" s="165"/>
      <c r="JV51" s="165"/>
      <c r="JW51" s="165"/>
      <c r="JX51" s="165"/>
      <c r="JY51" s="165"/>
      <c r="JZ51" s="165"/>
      <c r="KA51" s="165"/>
      <c r="KB51" s="165"/>
      <c r="KC51" s="165"/>
      <c r="KD51" s="165"/>
      <c r="KE51" s="165"/>
      <c r="KF51" s="165"/>
      <c r="KG51" s="165"/>
      <c r="KH51" s="165"/>
      <c r="KI51" s="165"/>
      <c r="KJ51" s="165"/>
      <c r="KK51" s="165"/>
      <c r="KL51" s="165"/>
      <c r="KM51" s="165"/>
      <c r="KN51" s="165"/>
      <c r="KO51" s="165"/>
      <c r="KP51" s="165"/>
      <c r="KQ51" s="165"/>
      <c r="KR51" s="165"/>
      <c r="KS51" s="165"/>
      <c r="KT51" s="165"/>
      <c r="KU51" s="165"/>
      <c r="KV51" s="165"/>
      <c r="KW51" s="165"/>
      <c r="KX51" s="165"/>
      <c r="KY51" s="165"/>
      <c r="KZ51" s="165"/>
      <c r="LA51" s="165"/>
      <c r="LB51" s="165"/>
      <c r="LC51" s="165"/>
      <c r="LD51" s="165"/>
      <c r="LE51" s="165"/>
      <c r="LF51" s="165"/>
      <c r="LG51" s="165"/>
      <c r="LH51" s="165"/>
      <c r="LI51" s="165"/>
      <c r="LJ51" s="165"/>
      <c r="LK51" s="165"/>
      <c r="LL51" s="165"/>
      <c r="LM51" s="165"/>
      <c r="LN51" s="165"/>
      <c r="LO51" s="165"/>
      <c r="LP51" s="165"/>
      <c r="LQ51" s="165"/>
      <c r="LR51" s="165"/>
      <c r="LS51" s="165"/>
      <c r="LT51" s="165"/>
      <c r="LU51" s="165"/>
      <c r="LV51" s="165"/>
      <c r="LW51" s="165"/>
      <c r="LX51" s="165"/>
      <c r="LY51" s="165"/>
      <c r="LZ51" s="165"/>
      <c r="MA51" s="165"/>
      <c r="MB51" s="165"/>
      <c r="MC51" s="165"/>
      <c r="MD51" s="165"/>
      <c r="ME51" s="165"/>
      <c r="MF51" s="165"/>
      <c r="MG51" s="165"/>
      <c r="MH51" s="165"/>
      <c r="MI51" s="165"/>
      <c r="MJ51" s="165"/>
      <c r="MK51" s="165"/>
      <c r="ML51" s="165"/>
      <c r="MM51" s="165"/>
      <c r="MN51" s="165"/>
      <c r="MO51" s="165"/>
      <c r="MP51" s="165"/>
      <c r="MQ51" s="165"/>
      <c r="MR51" s="165"/>
      <c r="MS51" s="165"/>
      <c r="MT51" s="165"/>
      <c r="MU51" s="165"/>
      <c r="MV51" s="165"/>
      <c r="MW51" s="165"/>
      <c r="MX51" s="165"/>
      <c r="MY51" s="165"/>
      <c r="MZ51" s="165"/>
      <c r="NA51" s="165"/>
      <c r="NB51" s="165"/>
      <c r="NC51" s="165"/>
      <c r="ND51" s="165"/>
      <c r="NE51" s="165"/>
      <c r="NF51" s="165"/>
      <c r="NG51" s="165"/>
      <c r="NH51" s="165"/>
      <c r="NI51" s="165"/>
      <c r="NJ51" s="165"/>
      <c r="NK51" s="165"/>
      <c r="NL51" s="165"/>
      <c r="NM51" s="165"/>
      <c r="NN51" s="165"/>
      <c r="NO51" s="165"/>
      <c r="NP51" s="165"/>
      <c r="NQ51" s="165"/>
      <c r="NR51" s="165"/>
      <c r="NS51" s="165"/>
      <c r="NT51" s="165"/>
      <c r="NU51" s="165"/>
      <c r="NV51" s="165"/>
      <c r="NW51" s="165"/>
      <c r="NX51" s="165"/>
      <c r="NY51" s="165"/>
      <c r="NZ51" s="165"/>
      <c r="OA51" s="165"/>
      <c r="OB51" s="165"/>
      <c r="OC51" s="165"/>
      <c r="OD51" s="165"/>
      <c r="OE51" s="165"/>
      <c r="OF51" s="165"/>
      <c r="OG51" s="165"/>
      <c r="OH51" s="165"/>
      <c r="OI51" s="165"/>
      <c r="OJ51" s="165"/>
      <c r="OK51" s="165"/>
      <c r="OL51" s="165"/>
      <c r="OM51" s="165"/>
      <c r="ON51" s="165"/>
      <c r="OO51" s="165"/>
      <c r="OP51" s="165"/>
      <c r="OQ51" s="165"/>
      <c r="OR51" s="165"/>
      <c r="OS51" s="165"/>
      <c r="OT51" s="165"/>
      <c r="OU51" s="165"/>
      <c r="OV51" s="165"/>
      <c r="OW51" s="165"/>
      <c r="OX51" s="165"/>
      <c r="OY51" s="165"/>
      <c r="OZ51" s="165"/>
      <c r="PA51" s="165"/>
      <c r="PB51" s="165"/>
      <c r="PC51" s="165"/>
      <c r="PD51" s="165"/>
      <c r="PE51" s="165"/>
      <c r="PF51" s="165"/>
      <c r="PG51" s="165"/>
      <c r="PH51" s="165"/>
      <c r="PI51" s="165"/>
      <c r="PJ51" s="165"/>
      <c r="PK51" s="165"/>
      <c r="PL51" s="165"/>
      <c r="PM51" s="165"/>
      <c r="PN51" s="165"/>
      <c r="PO51" s="165"/>
      <c r="PP51" s="165"/>
      <c r="PQ51" s="165"/>
      <c r="PR51" s="165"/>
      <c r="PS51" s="165"/>
      <c r="PT51" s="165"/>
      <c r="PU51" s="165"/>
      <c r="PV51" s="165"/>
      <c r="PW51" s="165"/>
      <c r="PX51" s="165"/>
      <c r="PY51" s="165"/>
      <c r="PZ51" s="165"/>
      <c r="QA51" s="165"/>
      <c r="QB51" s="165"/>
      <c r="QC51" s="165"/>
      <c r="QD51" s="165"/>
      <c r="QE51" s="165"/>
      <c r="QF51" s="165"/>
      <c r="QG51" s="165"/>
      <c r="QH51" s="165"/>
      <c r="QI51" s="165"/>
      <c r="QJ51" s="165"/>
      <c r="QK51" s="165"/>
      <c r="QL51" s="165"/>
      <c r="QM51" s="165"/>
      <c r="QN51" s="165"/>
      <c r="QO51" s="165"/>
      <c r="QP51" s="165"/>
      <c r="QQ51" s="165"/>
      <c r="QR51" s="165"/>
      <c r="QS51" s="165"/>
      <c r="QT51" s="165"/>
      <c r="QU51" s="165"/>
      <c r="QV51" s="165"/>
      <c r="QW51" s="165"/>
      <c r="QX51" s="165"/>
      <c r="QY51" s="165"/>
      <c r="QZ51" s="165"/>
      <c r="RA51" s="165"/>
      <c r="RB51" s="165"/>
      <c r="RC51" s="165"/>
      <c r="RD51" s="165"/>
      <c r="RE51" s="165"/>
      <c r="RF51" s="165"/>
      <c r="RG51" s="165"/>
      <c r="RH51" s="165"/>
      <c r="RI51" s="165"/>
      <c r="RJ51" s="165"/>
      <c r="RK51" s="165"/>
      <c r="RL51" s="165"/>
      <c r="RM51" s="165"/>
      <c r="RN51" s="165"/>
      <c r="RO51" s="165"/>
      <c r="RP51" s="165"/>
      <c r="RQ51" s="165"/>
      <c r="RR51" s="165"/>
      <c r="RS51" s="165"/>
      <c r="RT51" s="165"/>
      <c r="RU51" s="165"/>
      <c r="RV51" s="165"/>
      <c r="RW51" s="165"/>
      <c r="RX51" s="165"/>
      <c r="RY51" s="165"/>
      <c r="RZ51" s="165"/>
      <c r="SA51" s="165"/>
      <c r="SB51" s="165"/>
      <c r="SC51" s="165"/>
      <c r="SD51" s="165"/>
      <c r="SE51" s="165"/>
      <c r="SF51" s="165"/>
      <c r="SG51" s="165"/>
      <c r="SH51" s="165"/>
      <c r="SI51" s="165"/>
      <c r="SJ51" s="165"/>
      <c r="SK51" s="165"/>
      <c r="SL51" s="165"/>
      <c r="SM51" s="165"/>
      <c r="SN51" s="165"/>
      <c r="SO51" s="165"/>
      <c r="SP51" s="165"/>
      <c r="SQ51" s="165"/>
      <c r="SR51" s="165"/>
      <c r="SS51" s="165"/>
      <c r="ST51" s="165"/>
      <c r="SU51" s="165"/>
      <c r="SV51" s="165"/>
      <c r="SW51" s="165"/>
      <c r="SX51" s="165"/>
      <c r="SY51" s="165"/>
      <c r="SZ51" s="165"/>
      <c r="TA51" s="165"/>
      <c r="TB51" s="165"/>
      <c r="TC51" s="165"/>
      <c r="TD51" s="165"/>
      <c r="TE51" s="165"/>
      <c r="TF51" s="165"/>
      <c r="TG51" s="165"/>
      <c r="TH51" s="165"/>
      <c r="TI51" s="165"/>
      <c r="TJ51" s="165"/>
      <c r="TK51" s="165"/>
      <c r="TL51" s="165"/>
      <c r="TM51" s="165"/>
      <c r="TN51" s="165"/>
      <c r="TO51" s="165"/>
      <c r="TP51" s="165"/>
      <c r="TQ51" s="165"/>
      <c r="TR51" s="165"/>
      <c r="TS51" s="165"/>
      <c r="TT51" s="165"/>
      <c r="TU51" s="165"/>
      <c r="TV51" s="165"/>
      <c r="TW51" s="165"/>
      <c r="TX51" s="165"/>
      <c r="TY51" s="165"/>
      <c r="TZ51" s="165"/>
      <c r="UA51" s="165"/>
      <c r="UB51" s="165"/>
      <c r="UC51" s="165"/>
      <c r="UD51" s="165"/>
      <c r="UE51" s="165"/>
      <c r="UF51" s="165"/>
      <c r="UG51" s="165"/>
      <c r="UH51" s="165"/>
      <c r="UI51" s="165"/>
      <c r="UJ51" s="165"/>
      <c r="UK51" s="165"/>
      <c r="UL51" s="165"/>
      <c r="UM51" s="165"/>
      <c r="UN51" s="165"/>
      <c r="UO51" s="165"/>
      <c r="UP51" s="165"/>
      <c r="UQ51" s="165"/>
      <c r="UR51" s="165"/>
      <c r="US51" s="165"/>
      <c r="UT51" s="165"/>
      <c r="UU51" s="165"/>
      <c r="UV51" s="165"/>
      <c r="UW51" s="165"/>
      <c r="UX51" s="165"/>
      <c r="UY51" s="165"/>
      <c r="UZ51" s="165"/>
      <c r="VA51" s="165"/>
      <c r="VB51" s="165"/>
      <c r="VC51" s="165"/>
      <c r="VD51" s="165"/>
      <c r="VE51" s="165"/>
      <c r="VF51" s="165"/>
      <c r="VG51" s="165"/>
      <c r="VH51" s="165"/>
      <c r="VI51" s="165"/>
      <c r="VJ51" s="165"/>
      <c r="VK51" s="165"/>
      <c r="VL51" s="165"/>
      <c r="VM51" s="165"/>
      <c r="VN51" s="165"/>
      <c r="VO51" s="165"/>
      <c r="VP51" s="165"/>
      <c r="VQ51" s="165"/>
      <c r="VR51" s="165"/>
      <c r="VS51" s="165"/>
      <c r="VT51" s="165"/>
      <c r="VU51" s="165"/>
      <c r="VV51" s="165"/>
      <c r="VW51" s="165"/>
      <c r="VX51" s="165"/>
      <c r="VY51" s="165"/>
      <c r="VZ51" s="165"/>
      <c r="WA51" s="165"/>
      <c r="WB51" s="165"/>
      <c r="WC51" s="165"/>
      <c r="WD51" s="165"/>
      <c r="WE51" s="165"/>
      <c r="WF51" s="165"/>
      <c r="WG51" s="165"/>
      <c r="WH51" s="165"/>
      <c r="WI51" s="165"/>
      <c r="WJ51" s="165"/>
      <c r="WK51" s="165"/>
      <c r="WL51" s="165"/>
      <c r="WM51" s="165"/>
      <c r="WN51" s="165"/>
      <c r="WO51" s="165"/>
      <c r="WP51" s="165"/>
      <c r="WQ51" s="165"/>
      <c r="WR51" s="165"/>
      <c r="WS51" s="165"/>
      <c r="WT51" s="165"/>
      <c r="WU51" s="165"/>
      <c r="WV51" s="165"/>
      <c r="WW51" s="165"/>
      <c r="WX51" s="165"/>
      <c r="WY51" s="165"/>
      <c r="WZ51" s="165"/>
      <c r="XA51" s="165"/>
      <c r="XB51" s="165"/>
      <c r="XC51" s="165"/>
      <c r="XD51" s="165"/>
      <c r="XE51" s="165"/>
      <c r="XF51" s="165"/>
      <c r="XG51" s="165"/>
      <c r="XH51" s="165"/>
      <c r="XI51" s="165"/>
      <c r="XJ51" s="165"/>
      <c r="XK51" s="165"/>
      <c r="XL51" s="165"/>
      <c r="XM51" s="165"/>
      <c r="XN51" s="165"/>
      <c r="XO51" s="165"/>
      <c r="XP51" s="165"/>
      <c r="XQ51" s="165"/>
      <c r="XR51" s="165"/>
      <c r="XS51" s="165"/>
      <c r="XT51" s="165"/>
      <c r="XU51" s="165"/>
      <c r="XV51" s="165"/>
      <c r="XW51" s="165"/>
      <c r="XX51" s="165"/>
      <c r="XY51" s="165"/>
      <c r="XZ51" s="165"/>
      <c r="YA51" s="165"/>
      <c r="YB51" s="165"/>
      <c r="YC51" s="165"/>
      <c r="YD51" s="165"/>
      <c r="YE51" s="165"/>
      <c r="YF51" s="165"/>
      <c r="YG51" s="165"/>
      <c r="YH51" s="165"/>
      <c r="YI51" s="165"/>
      <c r="YJ51" s="165"/>
      <c r="YK51" s="165"/>
      <c r="YL51" s="165"/>
      <c r="YM51" s="165"/>
      <c r="YN51" s="165"/>
      <c r="YO51" s="165"/>
      <c r="YP51" s="165"/>
      <c r="YQ51" s="165"/>
      <c r="YR51" s="165"/>
      <c r="YS51" s="165"/>
      <c r="YT51" s="165"/>
      <c r="YU51" s="165"/>
      <c r="YV51" s="165"/>
      <c r="YW51" s="165"/>
      <c r="YX51" s="165"/>
      <c r="YY51" s="165"/>
      <c r="YZ51" s="165"/>
      <c r="ZA51" s="165"/>
      <c r="ZB51" s="165"/>
      <c r="ZC51" s="165"/>
      <c r="ZD51" s="165"/>
      <c r="ZE51" s="165"/>
      <c r="ZF51" s="165"/>
      <c r="ZG51" s="165"/>
      <c r="ZH51" s="165"/>
      <c r="ZI51" s="165"/>
      <c r="ZJ51" s="165"/>
      <c r="ZK51" s="165"/>
      <c r="ZL51" s="165"/>
      <c r="ZM51" s="165"/>
      <c r="ZN51" s="165"/>
      <c r="ZO51" s="165"/>
      <c r="ZP51" s="165"/>
      <c r="ZQ51" s="165"/>
      <c r="ZR51" s="165"/>
      <c r="ZS51" s="165"/>
      <c r="ZT51" s="165"/>
      <c r="ZU51" s="165"/>
      <c r="ZV51" s="165"/>
      <c r="ZW51" s="165"/>
      <c r="ZX51" s="165"/>
      <c r="ZY51" s="165"/>
      <c r="ZZ51" s="165"/>
      <c r="AAA51" s="165"/>
      <c r="AAB51" s="165"/>
      <c r="AAC51" s="165"/>
      <c r="AAD51" s="165"/>
      <c r="AAE51" s="165"/>
      <c r="AAF51" s="165"/>
      <c r="AAG51" s="165"/>
      <c r="AAH51" s="165"/>
      <c r="AAI51" s="165"/>
      <c r="AAJ51" s="165"/>
      <c r="AAK51" s="165"/>
      <c r="AAL51" s="165"/>
      <c r="AAM51" s="165"/>
      <c r="AAN51" s="165"/>
      <c r="AAO51" s="165"/>
      <c r="AAP51" s="165"/>
      <c r="AAQ51" s="165"/>
      <c r="AAR51" s="165"/>
      <c r="AAS51" s="165"/>
      <c r="AAT51" s="165"/>
      <c r="AAU51" s="165"/>
      <c r="AAV51" s="165"/>
      <c r="AAW51" s="165"/>
      <c r="AAX51" s="165"/>
      <c r="AAY51" s="165"/>
      <c r="AAZ51" s="165"/>
      <c r="ABA51" s="165"/>
      <c r="ABB51" s="165"/>
      <c r="ABC51" s="165"/>
      <c r="ABD51" s="165"/>
      <c r="ABE51" s="165"/>
      <c r="ABF51" s="165"/>
      <c r="ABG51" s="165"/>
      <c r="ABH51" s="165"/>
      <c r="ABI51" s="165"/>
      <c r="ABJ51" s="165"/>
      <c r="ABK51" s="165"/>
      <c r="ABL51" s="165"/>
      <c r="ABM51" s="165"/>
      <c r="ABN51" s="165"/>
      <c r="ABO51" s="165"/>
      <c r="ABP51" s="165"/>
      <c r="ABQ51" s="165"/>
      <c r="ABR51" s="165"/>
      <c r="ABS51" s="165"/>
      <c r="ABT51" s="165"/>
      <c r="ABU51" s="165"/>
      <c r="ABV51" s="165"/>
      <c r="ABW51" s="165"/>
      <c r="ABX51" s="165"/>
      <c r="ABY51" s="165"/>
      <c r="ABZ51" s="165"/>
      <c r="ACA51" s="165"/>
      <c r="ACB51" s="165"/>
      <c r="ACC51" s="165"/>
      <c r="ACD51" s="165"/>
      <c r="ACE51" s="165"/>
      <c r="ACF51" s="165"/>
      <c r="ACG51" s="165"/>
      <c r="ACH51" s="165"/>
      <c r="ACI51" s="165"/>
      <c r="ACJ51" s="165"/>
      <c r="ACK51" s="165"/>
      <c r="ACL51" s="165"/>
      <c r="ACM51" s="165"/>
      <c r="ACN51" s="165"/>
      <c r="ACO51" s="165"/>
      <c r="ACP51" s="165"/>
      <c r="ACQ51" s="165"/>
      <c r="ACR51" s="165"/>
      <c r="ACS51" s="165"/>
      <c r="ACT51" s="165"/>
      <c r="ACU51" s="165"/>
      <c r="ACV51" s="165"/>
      <c r="ACW51" s="165"/>
      <c r="ACX51" s="165"/>
      <c r="ACY51" s="165"/>
      <c r="ACZ51" s="165"/>
      <c r="ADA51" s="165"/>
      <c r="ADB51" s="165"/>
      <c r="ADC51" s="165"/>
      <c r="ADD51" s="165"/>
      <c r="ADE51" s="165"/>
      <c r="ADF51" s="165"/>
      <c r="ADG51" s="165"/>
      <c r="ADH51" s="165"/>
      <c r="ADI51" s="165"/>
      <c r="ADJ51" s="165"/>
      <c r="ADK51" s="165"/>
      <c r="ADL51" s="165"/>
      <c r="ADM51" s="165"/>
      <c r="ADN51" s="165"/>
      <c r="ADO51" s="165"/>
      <c r="ADP51" s="165"/>
      <c r="ADQ51" s="165"/>
      <c r="ADR51" s="165"/>
      <c r="ADS51" s="165"/>
      <c r="ADT51" s="165"/>
      <c r="ADU51" s="165"/>
      <c r="ADV51" s="165"/>
      <c r="ADW51" s="165"/>
      <c r="ADX51" s="165"/>
      <c r="ADY51" s="165"/>
      <c r="ADZ51" s="165"/>
      <c r="AEA51" s="165"/>
      <c r="AEB51" s="165"/>
      <c r="AEC51" s="165"/>
      <c r="AED51" s="165"/>
      <c r="AEE51" s="165"/>
      <c r="AEF51" s="165"/>
      <c r="AEG51" s="165"/>
      <c r="AEH51" s="165"/>
      <c r="AEI51" s="165"/>
      <c r="AEJ51" s="165"/>
      <c r="AEK51" s="165"/>
      <c r="AEL51" s="165"/>
      <c r="AEM51" s="165"/>
      <c r="AEN51" s="165"/>
      <c r="AEO51" s="165"/>
      <c r="AEP51" s="165"/>
      <c r="AEQ51" s="165"/>
      <c r="AER51" s="165"/>
      <c r="AES51" s="165"/>
      <c r="AET51" s="165"/>
      <c r="AEU51" s="165"/>
      <c r="AEV51" s="165"/>
      <c r="AEW51" s="165"/>
      <c r="AEX51" s="165"/>
      <c r="AEY51" s="165"/>
      <c r="AEZ51" s="165"/>
      <c r="AFA51" s="165"/>
      <c r="AFB51" s="165"/>
      <c r="AFC51" s="165"/>
      <c r="AFD51" s="165"/>
      <c r="AFE51" s="165"/>
      <c r="AFF51" s="165"/>
      <c r="AFG51" s="165"/>
      <c r="AFH51" s="165"/>
      <c r="AFI51" s="165"/>
      <c r="AFJ51" s="165"/>
      <c r="AFK51" s="165"/>
      <c r="AFL51" s="165"/>
      <c r="AFM51" s="165"/>
      <c r="AFN51" s="165"/>
      <c r="AFO51" s="165"/>
      <c r="AFP51" s="165"/>
      <c r="AFQ51" s="165"/>
      <c r="AFR51" s="165"/>
      <c r="AFS51" s="165"/>
      <c r="AFT51" s="165"/>
      <c r="AFU51" s="165"/>
      <c r="AFV51" s="165"/>
      <c r="AFW51" s="165"/>
      <c r="AFX51" s="165"/>
      <c r="AFY51" s="165"/>
      <c r="AFZ51" s="165"/>
      <c r="AGA51" s="165"/>
      <c r="AGB51" s="165"/>
      <c r="AGC51" s="165"/>
      <c r="AGD51" s="165"/>
      <c r="AGE51" s="165"/>
      <c r="AGF51" s="165"/>
      <c r="AGG51" s="165"/>
      <c r="AGH51" s="165"/>
      <c r="AGI51" s="165"/>
      <c r="AGJ51" s="165"/>
      <c r="AGK51" s="165"/>
      <c r="AGL51" s="165"/>
      <c r="AGM51" s="165"/>
      <c r="AGN51" s="165"/>
      <c r="AGO51" s="165"/>
      <c r="AGP51" s="165"/>
      <c r="AGQ51" s="165"/>
      <c r="AGR51" s="165"/>
      <c r="AGS51" s="165"/>
      <c r="AGT51" s="165"/>
      <c r="AGU51" s="165"/>
      <c r="AGV51" s="165"/>
      <c r="AGW51" s="165"/>
      <c r="AGX51" s="165"/>
      <c r="AGY51" s="165"/>
      <c r="AGZ51" s="165"/>
      <c r="AHA51" s="165"/>
      <c r="AHB51" s="165"/>
      <c r="AHC51" s="165"/>
      <c r="AHD51" s="165"/>
      <c r="AHE51" s="165"/>
      <c r="AHF51" s="165"/>
      <c r="AHG51" s="165"/>
      <c r="AHH51" s="165"/>
      <c r="AHI51" s="165"/>
      <c r="AHJ51" s="165"/>
      <c r="AHK51" s="165"/>
      <c r="AHL51" s="165"/>
      <c r="AHM51" s="165"/>
      <c r="AHN51" s="165"/>
      <c r="AHO51" s="165"/>
      <c r="AHP51" s="165"/>
      <c r="AHQ51" s="165"/>
      <c r="AHR51" s="165"/>
      <c r="AHS51" s="165"/>
      <c r="AHT51" s="165"/>
      <c r="AHU51" s="165"/>
      <c r="AHV51" s="165"/>
      <c r="AHW51" s="165"/>
      <c r="AHX51" s="165"/>
      <c r="AHY51" s="165"/>
      <c r="AHZ51" s="165"/>
      <c r="AIA51" s="165"/>
      <c r="AIB51" s="165"/>
      <c r="AIC51" s="165"/>
      <c r="AID51" s="165"/>
      <c r="AIE51" s="165"/>
      <c r="AIF51" s="165"/>
      <c r="AIG51" s="165"/>
      <c r="AIH51" s="165"/>
      <c r="AII51" s="165"/>
      <c r="AIJ51" s="165"/>
      <c r="AIK51" s="165"/>
      <c r="AIL51" s="165"/>
      <c r="AIM51" s="165"/>
      <c r="AIN51" s="165"/>
      <c r="AIO51" s="165"/>
      <c r="AIP51" s="165"/>
      <c r="AIQ51" s="165"/>
      <c r="AIR51" s="165"/>
      <c r="AIS51" s="165"/>
      <c r="AIT51" s="165"/>
      <c r="AIU51" s="165"/>
      <c r="AIV51" s="165"/>
      <c r="AIW51" s="165"/>
      <c r="AIX51" s="165"/>
      <c r="AIY51" s="165"/>
      <c r="AIZ51" s="165"/>
      <c r="AJA51" s="165"/>
      <c r="AJB51" s="165"/>
      <c r="AJC51" s="165"/>
      <c r="AJD51" s="165"/>
      <c r="AJE51" s="165"/>
      <c r="AJF51" s="165"/>
      <c r="AJG51" s="165"/>
      <c r="AJH51" s="165"/>
      <c r="AJI51" s="165"/>
      <c r="AJJ51" s="165"/>
      <c r="AJK51" s="165"/>
      <c r="AJL51" s="165"/>
      <c r="AJM51" s="165"/>
      <c r="AJN51" s="165"/>
      <c r="AJO51" s="165"/>
      <c r="AJP51" s="165"/>
      <c r="AJQ51" s="165"/>
      <c r="AJR51" s="165"/>
      <c r="AJS51" s="165"/>
      <c r="AJT51" s="165"/>
      <c r="AJU51" s="165"/>
      <c r="AJV51" s="165"/>
      <c r="AJW51" s="165"/>
      <c r="AJX51" s="165"/>
      <c r="AJY51" s="165"/>
      <c r="AJZ51" s="165"/>
      <c r="AKA51" s="165"/>
      <c r="AKB51" s="165"/>
      <c r="AKC51" s="165"/>
      <c r="AKD51" s="165"/>
      <c r="AKE51" s="165"/>
      <c r="AKF51" s="165"/>
      <c r="AKG51" s="165"/>
      <c r="AKH51" s="165"/>
      <c r="AKI51" s="165"/>
      <c r="AKJ51" s="165"/>
      <c r="AKK51" s="165"/>
      <c r="AKL51" s="165"/>
      <c r="AKM51" s="165"/>
      <c r="AKN51" s="165"/>
      <c r="AKO51" s="165"/>
      <c r="AKP51" s="165"/>
      <c r="AKQ51" s="165"/>
      <c r="AKR51" s="165"/>
      <c r="AKS51" s="165"/>
      <c r="AKT51" s="165"/>
      <c r="AKU51" s="165"/>
      <c r="AKV51" s="165"/>
      <c r="AKW51" s="165"/>
      <c r="AKX51" s="165"/>
      <c r="AKY51" s="165"/>
      <c r="AKZ51" s="165"/>
      <c r="ALA51" s="165"/>
      <c r="ALB51" s="165"/>
      <c r="ALC51" s="165"/>
      <c r="ALD51" s="165"/>
      <c r="ALE51" s="165"/>
      <c r="ALF51" s="165"/>
      <c r="ALG51" s="165"/>
      <c r="ALH51" s="165"/>
      <c r="ALI51" s="165"/>
      <c r="ALJ51" s="165"/>
      <c r="ALK51" s="165"/>
      <c r="ALL51" s="165"/>
      <c r="ALM51" s="165"/>
      <c r="ALN51" s="165"/>
      <c r="ALO51" s="165"/>
      <c r="ALP51" s="165"/>
      <c r="ALQ51" s="165"/>
      <c r="ALR51" s="165"/>
      <c r="ALS51" s="165"/>
      <c r="ALT51" s="165"/>
      <c r="ALU51" s="165"/>
      <c r="ALV51" s="165"/>
      <c r="ALW51" s="165"/>
      <c r="ALX51" s="165"/>
      <c r="ALY51" s="165"/>
      <c r="ALZ51" s="165"/>
      <c r="AMA51" s="165"/>
      <c r="AMB51" s="165"/>
      <c r="AMC51" s="165"/>
      <c r="AMD51" s="165"/>
      <c r="AME51" s="165"/>
      <c r="AMF51" s="165"/>
      <c r="AMG51" s="165"/>
      <c r="AMH51" s="165"/>
      <c r="AMI51" s="165"/>
      <c r="AMJ51" s="165"/>
      <c r="AMK51" s="165"/>
      <c r="AML51" s="165"/>
      <c r="AMM51" s="165"/>
      <c r="AMN51" s="165"/>
      <c r="AMO51" s="165"/>
      <c r="AMP51" s="165"/>
      <c r="AMQ51" s="165"/>
      <c r="AMR51" s="165"/>
      <c r="AMS51" s="165"/>
      <c r="AMT51" s="165"/>
      <c r="AMU51" s="165"/>
      <c r="AMV51" s="165"/>
      <c r="AMW51" s="165"/>
      <c r="AMX51" s="165"/>
      <c r="AMY51" s="165"/>
      <c r="AMZ51" s="165"/>
      <c r="ANA51" s="165"/>
      <c r="ANB51" s="165"/>
      <c r="ANC51" s="165"/>
      <c r="AND51" s="165"/>
      <c r="ANE51" s="165"/>
      <c r="ANF51" s="165"/>
      <c r="ANG51" s="165"/>
      <c r="ANH51" s="165"/>
      <c r="ANI51" s="165"/>
      <c r="ANJ51" s="165"/>
      <c r="ANK51" s="165"/>
      <c r="ANL51" s="165"/>
      <c r="ANM51" s="165"/>
      <c r="ANN51" s="165"/>
      <c r="ANO51" s="165"/>
      <c r="ANP51" s="165"/>
      <c r="ANQ51" s="165"/>
      <c r="ANR51" s="165"/>
      <c r="ANS51" s="165"/>
      <c r="ANT51" s="165"/>
      <c r="ANU51" s="165"/>
      <c r="ANV51" s="165"/>
      <c r="ANW51" s="165"/>
      <c r="ANX51" s="165"/>
      <c r="ANY51" s="165"/>
      <c r="ANZ51" s="165"/>
      <c r="AOA51" s="165"/>
      <c r="AOB51" s="165"/>
      <c r="AOC51" s="165"/>
      <c r="AOD51" s="165"/>
      <c r="AOE51" s="165"/>
      <c r="AOF51" s="165"/>
      <c r="AOG51" s="165"/>
      <c r="AOH51" s="165"/>
      <c r="AOI51" s="165"/>
      <c r="AOJ51" s="165"/>
      <c r="AOK51" s="165"/>
      <c r="AOL51" s="165"/>
      <c r="AOM51" s="165"/>
      <c r="AON51" s="165"/>
      <c r="AOO51" s="165"/>
      <c r="AOP51" s="165"/>
      <c r="AOQ51" s="165"/>
      <c r="AOR51" s="165"/>
      <c r="AOS51" s="165"/>
      <c r="AOT51" s="165"/>
      <c r="AOU51" s="165"/>
      <c r="AOV51" s="165"/>
      <c r="AOW51" s="165"/>
      <c r="AOX51" s="165"/>
      <c r="AOY51" s="165"/>
      <c r="AOZ51" s="165"/>
      <c r="APA51" s="165"/>
      <c r="APB51" s="165"/>
      <c r="APC51" s="165"/>
      <c r="APD51" s="165"/>
      <c r="APE51" s="165"/>
      <c r="APF51" s="165"/>
      <c r="APG51" s="165"/>
      <c r="APH51" s="165"/>
      <c r="API51" s="165"/>
      <c r="APJ51" s="165"/>
      <c r="APK51" s="165"/>
      <c r="APL51" s="165"/>
      <c r="APM51" s="165"/>
      <c r="APN51" s="165"/>
      <c r="APO51" s="165"/>
      <c r="APP51" s="165"/>
      <c r="APQ51" s="165"/>
      <c r="APR51" s="165"/>
      <c r="APS51" s="165"/>
      <c r="APT51" s="165"/>
      <c r="APU51" s="165"/>
      <c r="APV51" s="165"/>
      <c r="APW51" s="165"/>
      <c r="APX51" s="165"/>
      <c r="APY51" s="165"/>
      <c r="APZ51" s="165"/>
      <c r="AQA51" s="165"/>
      <c r="AQB51" s="165"/>
      <c r="AQC51" s="165"/>
      <c r="AQD51" s="165"/>
      <c r="AQE51" s="165"/>
      <c r="AQF51" s="165"/>
      <c r="AQG51" s="165"/>
      <c r="AQH51" s="165"/>
      <c r="AQI51" s="165"/>
      <c r="AQJ51" s="165"/>
      <c r="AQK51" s="165"/>
      <c r="AQL51" s="165"/>
      <c r="AQM51" s="165"/>
      <c r="AQN51" s="165"/>
      <c r="AQO51" s="165"/>
      <c r="AQP51" s="165"/>
      <c r="AQQ51" s="165"/>
      <c r="AQR51" s="165"/>
      <c r="AQS51" s="165"/>
      <c r="AQT51" s="165"/>
      <c r="AQU51" s="165"/>
      <c r="AQV51" s="165"/>
      <c r="AQW51" s="165"/>
      <c r="AQX51" s="165"/>
      <c r="AQY51" s="165"/>
      <c r="AQZ51" s="165"/>
      <c r="ARA51" s="165"/>
      <c r="ARB51" s="165"/>
      <c r="ARC51" s="165"/>
      <c r="ARD51" s="165"/>
      <c r="ARE51" s="165"/>
      <c r="ARF51" s="165"/>
      <c r="ARG51" s="165"/>
      <c r="ARH51" s="165"/>
      <c r="ARI51" s="165"/>
      <c r="ARJ51" s="165"/>
      <c r="ARK51" s="165"/>
      <c r="ARL51" s="165"/>
      <c r="ARM51" s="165"/>
      <c r="ARN51" s="165"/>
      <c r="ARO51" s="165"/>
      <c r="ARP51" s="165"/>
      <c r="ARQ51" s="165"/>
      <c r="ARR51" s="165"/>
      <c r="ARS51" s="165"/>
      <c r="ART51" s="165"/>
      <c r="ARU51" s="165"/>
      <c r="ARV51" s="165"/>
      <c r="ARW51" s="165"/>
      <c r="ARX51" s="165"/>
      <c r="ARY51" s="165"/>
      <c r="ARZ51" s="165"/>
      <c r="ASA51" s="165"/>
      <c r="ASB51" s="165"/>
      <c r="ASC51" s="165"/>
      <c r="ASD51" s="165"/>
      <c r="ASE51" s="165"/>
      <c r="ASF51" s="165"/>
      <c r="ASG51" s="165"/>
      <c r="ASH51" s="165"/>
      <c r="ASI51" s="165"/>
      <c r="ASJ51" s="165"/>
      <c r="ASK51" s="165"/>
      <c r="ASL51" s="165"/>
      <c r="ASM51" s="165"/>
      <c r="ASN51" s="165"/>
      <c r="ASO51" s="165"/>
      <c r="ASP51" s="165"/>
      <c r="ASQ51" s="165"/>
      <c r="ASR51" s="165"/>
      <c r="ASS51" s="165"/>
      <c r="AST51" s="165"/>
      <c r="ASU51" s="165"/>
      <c r="ASV51" s="165"/>
      <c r="ASW51" s="165"/>
      <c r="ASX51" s="165"/>
      <c r="ASY51" s="165"/>
      <c r="ASZ51" s="165"/>
      <c r="ATA51" s="165"/>
      <c r="ATB51" s="165"/>
      <c r="ATC51" s="165"/>
      <c r="ATD51" s="165"/>
      <c r="ATE51" s="165"/>
      <c r="ATF51" s="165"/>
      <c r="ATG51" s="165"/>
      <c r="ATH51" s="165"/>
      <c r="ATI51" s="165"/>
      <c r="ATJ51" s="165"/>
      <c r="ATK51" s="165"/>
      <c r="ATL51" s="165"/>
      <c r="ATM51" s="165"/>
      <c r="ATN51" s="165"/>
      <c r="ATO51" s="165"/>
      <c r="ATP51" s="165"/>
      <c r="ATQ51" s="165"/>
      <c r="ATR51" s="165"/>
    </row>
    <row r="52" spans="1:1214" ht="29.25" hidden="1" customHeight="1">
      <c r="A52" s="112">
        <v>47</v>
      </c>
      <c r="B52" s="104" t="s">
        <v>365</v>
      </c>
      <c r="C52" s="104" t="s">
        <v>35</v>
      </c>
      <c r="D52" s="104" t="s">
        <v>36</v>
      </c>
      <c r="E52" s="104" t="s">
        <v>37</v>
      </c>
      <c r="F52" s="105">
        <v>45782</v>
      </c>
      <c r="G52" s="105">
        <v>45798</v>
      </c>
      <c r="H52" s="103" t="s">
        <v>366</v>
      </c>
      <c r="I52" s="103"/>
      <c r="J52" s="103"/>
      <c r="K52" s="103"/>
      <c r="L52" s="106" t="s">
        <v>367</v>
      </c>
      <c r="M52" s="103" t="s">
        <v>368</v>
      </c>
      <c r="N52" s="164" t="s">
        <v>369</v>
      </c>
      <c r="O52" s="164" t="s">
        <v>370</v>
      </c>
      <c r="P52" s="105">
        <v>25843</v>
      </c>
      <c r="Q52" s="113" t="s">
        <v>371</v>
      </c>
      <c r="R52" s="103" t="s">
        <v>45</v>
      </c>
      <c r="S52" s="107">
        <v>3500</v>
      </c>
      <c r="T52" s="103"/>
      <c r="U52" s="103"/>
      <c r="V52" s="103"/>
      <c r="W52" s="103"/>
      <c r="X52" s="103"/>
      <c r="Y52" s="103"/>
      <c r="Z52" s="103"/>
      <c r="AA52" s="108">
        <f>SUM(Tabela2[[#This Row],[VALOR DO SERVIÇO CONTRATADO]]+Tabela2[[#This Row],[VALOR]]+Tabela2[[#This Row],[VALOR2]]+Tabela2[[#This Row],[AJUDA DE CUSTO]])+Tabela2[[#This Row],[VALOR3]]</f>
        <v>3500</v>
      </c>
      <c r="AB52" s="103" t="s">
        <v>46</v>
      </c>
      <c r="AC52" s="103">
        <v>12</v>
      </c>
      <c r="AD52" s="109"/>
      <c r="AE52" s="103" t="s">
        <v>47</v>
      </c>
      <c r="AF52" s="103" t="s">
        <v>319</v>
      </c>
      <c r="AG52" s="111" t="s">
        <v>340</v>
      </c>
    </row>
    <row r="53" spans="1:1214" s="169" customFormat="1" hidden="1">
      <c r="A53" s="58">
        <v>48</v>
      </c>
      <c r="B53" s="58" t="s">
        <v>372</v>
      </c>
      <c r="C53" s="58" t="s">
        <v>109</v>
      </c>
      <c r="D53" s="55" t="s">
        <v>36</v>
      </c>
      <c r="E53" s="56" t="s">
        <v>37</v>
      </c>
      <c r="F53" s="56">
        <v>45817</v>
      </c>
      <c r="G53" s="56">
        <v>45929</v>
      </c>
      <c r="H53" s="58" t="s">
        <v>373</v>
      </c>
      <c r="I53" s="58"/>
      <c r="J53" s="58"/>
      <c r="K53" s="58"/>
      <c r="L53" s="100" t="s">
        <v>374</v>
      </c>
      <c r="M53" s="100" t="s">
        <v>375</v>
      </c>
      <c r="N53" s="100" t="s">
        <v>376</v>
      </c>
      <c r="O53" s="56" t="s">
        <v>377</v>
      </c>
      <c r="P53" s="58">
        <v>27550</v>
      </c>
      <c r="Q53" s="58" t="s">
        <v>378</v>
      </c>
      <c r="R53" s="61" t="s">
        <v>45</v>
      </c>
      <c r="S53" s="58">
        <v>3500</v>
      </c>
      <c r="T53" s="61"/>
      <c r="U53" s="58"/>
      <c r="V53" s="61"/>
      <c r="W53" s="61"/>
      <c r="X53" s="61"/>
      <c r="Y53" s="61"/>
      <c r="Z53" s="62"/>
      <c r="AA53" s="60">
        <f>SUM(Tabela2[[#This Row],[VALOR DO SERVIÇO CONTRATADO]]+Tabela2[[#This Row],[VALOR]]+Tabela2[[#This Row],[VALOR2]]+Tabela2[[#This Row],[AJUDA DE CUSTO]])+Tabela2[[#This Row],[VALOR3]]</f>
        <v>3500</v>
      </c>
      <c r="AB53" s="77" t="s">
        <v>46</v>
      </c>
      <c r="AC53" s="60">
        <v>12</v>
      </c>
      <c r="AD53" s="58"/>
      <c r="AE53" s="58" t="s">
        <v>47</v>
      </c>
      <c r="AF53" s="63" t="s">
        <v>319</v>
      </c>
      <c r="AG53" s="170" t="s">
        <v>46</v>
      </c>
    </row>
    <row r="54" spans="1:1214" s="100" customFormat="1" hidden="1">
      <c r="A54" s="112">
        <v>49</v>
      </c>
      <c r="B54" s="58" t="s">
        <v>379</v>
      </c>
      <c r="C54" s="58" t="s">
        <v>109</v>
      </c>
      <c r="D54" s="58" t="s">
        <v>36</v>
      </c>
      <c r="E54" s="55" t="s">
        <v>58</v>
      </c>
      <c r="F54" s="56">
        <v>45817</v>
      </c>
      <c r="G54" s="56">
        <v>45855</v>
      </c>
      <c r="H54" s="58" t="s">
        <v>380</v>
      </c>
      <c r="I54" s="58"/>
      <c r="J54" s="58"/>
      <c r="K54" s="58"/>
      <c r="L54" s="58" t="s">
        <v>381</v>
      </c>
      <c r="M54" s="100" t="s">
        <v>382</v>
      </c>
      <c r="N54" s="100" t="s">
        <v>383</v>
      </c>
      <c r="O54" s="100" t="s">
        <v>384</v>
      </c>
      <c r="P54" s="56">
        <v>35584</v>
      </c>
      <c r="Q54" s="58" t="s">
        <v>385</v>
      </c>
      <c r="R54" s="58" t="s">
        <v>45</v>
      </c>
      <c r="S54" s="61">
        <v>3500</v>
      </c>
      <c r="T54" s="58"/>
      <c r="U54" s="61"/>
      <c r="V54" s="58"/>
      <c r="W54" s="61"/>
      <c r="X54" s="61"/>
      <c r="Y54" s="61"/>
      <c r="Z54" s="61"/>
      <c r="AA54" s="62">
        <f>SUM(Tabela2[[#This Row],[VALOR DO SERVIÇO CONTRATADO]]+Tabela2[[#This Row],[VALOR]]+Tabela2[[#This Row],[VALOR2]]+Tabela2[[#This Row],[AJUDA DE CUSTO]])+Tabela2[[#This Row],[VALOR3]]</f>
        <v>3500</v>
      </c>
      <c r="AB54" s="60" t="s">
        <v>46</v>
      </c>
      <c r="AC54" s="77">
        <v>12</v>
      </c>
      <c r="AD54" s="60"/>
      <c r="AE54" s="58" t="s">
        <v>47</v>
      </c>
      <c r="AF54" s="58" t="s">
        <v>386</v>
      </c>
      <c r="AG54" s="63" t="s">
        <v>46</v>
      </c>
    </row>
    <row r="55" spans="1:1214" hidden="1">
      <c r="A55" s="112">
        <v>50</v>
      </c>
      <c r="B55" s="58" t="s">
        <v>387</v>
      </c>
      <c r="C55" s="58" t="s">
        <v>35</v>
      </c>
      <c r="D55" s="58" t="s">
        <v>36</v>
      </c>
      <c r="E55" s="55" t="s">
        <v>58</v>
      </c>
      <c r="F55" s="56">
        <v>45817</v>
      </c>
      <c r="G55" s="56">
        <v>45818</v>
      </c>
      <c r="H55" s="58" t="s">
        <v>388</v>
      </c>
      <c r="I55" s="58"/>
      <c r="J55" s="58"/>
      <c r="K55" s="58"/>
      <c r="L55" s="58" t="s">
        <v>389</v>
      </c>
      <c r="M55" s="58" t="s">
        <v>390</v>
      </c>
      <c r="N55" s="58" t="s">
        <v>391</v>
      </c>
      <c r="O55" s="58" t="s">
        <v>392</v>
      </c>
      <c r="P55" s="56">
        <v>35448</v>
      </c>
      <c r="Q55" s="58" t="s">
        <v>393</v>
      </c>
      <c r="R55" s="58" t="s">
        <v>45</v>
      </c>
      <c r="S55" s="61">
        <v>3500</v>
      </c>
      <c r="T55" s="58"/>
      <c r="U55" s="61"/>
      <c r="V55" s="58"/>
      <c r="W55" s="61"/>
      <c r="X55" s="61"/>
      <c r="Y55" s="61"/>
      <c r="Z55" s="61"/>
      <c r="AA55" s="62">
        <f>SUM(Tabela2[[#This Row],[VALOR DO SERVIÇO CONTRATADO]]+Tabela2[[#This Row],[VALOR]]+Tabela2[[#This Row],[VALOR2]]+Tabela2[[#This Row],[AJUDA DE CUSTO]])+Tabela2[[#This Row],[VALOR3]]</f>
        <v>3500</v>
      </c>
      <c r="AB55" s="60" t="s">
        <v>46</v>
      </c>
      <c r="AC55" s="77">
        <v>12</v>
      </c>
      <c r="AD55" s="60"/>
      <c r="AE55" s="58" t="s">
        <v>47</v>
      </c>
      <c r="AF55" s="58" t="s">
        <v>386</v>
      </c>
      <c r="AG55" s="63" t="s">
        <v>67</v>
      </c>
    </row>
    <row r="56" spans="1:1214" hidden="1">
      <c r="A56" s="112">
        <v>51</v>
      </c>
      <c r="B56" s="55" t="s">
        <v>394</v>
      </c>
      <c r="C56" s="55" t="s">
        <v>109</v>
      </c>
      <c r="D56" s="55" t="s">
        <v>36</v>
      </c>
      <c r="E56" s="55" t="s">
        <v>58</v>
      </c>
      <c r="F56" s="56">
        <v>45817</v>
      </c>
      <c r="G56" s="56">
        <v>45832</v>
      </c>
      <c r="H56" s="58" t="s">
        <v>395</v>
      </c>
      <c r="I56" s="58"/>
      <c r="J56" s="58"/>
      <c r="K56" s="58"/>
      <c r="L56" s="65" t="s">
        <v>396</v>
      </c>
      <c r="M56" s="58" t="s">
        <v>397</v>
      </c>
      <c r="N56" s="100" t="s">
        <v>398</v>
      </c>
      <c r="O56" s="58"/>
      <c r="P56" s="56">
        <v>29679</v>
      </c>
      <c r="Q56" s="58" t="s">
        <v>399</v>
      </c>
      <c r="R56" s="58" t="s">
        <v>45</v>
      </c>
      <c r="S56" s="61">
        <v>3500</v>
      </c>
      <c r="T56" s="58"/>
      <c r="U56" s="61"/>
      <c r="V56" s="58"/>
      <c r="W56" s="61"/>
      <c r="X56" s="61"/>
      <c r="Y56" s="61"/>
      <c r="Z56" s="61"/>
      <c r="AA56" s="62">
        <f>SUM(Tabela2[[#This Row],[VALOR DO SERVIÇO CONTRATADO]]+Tabela2[[#This Row],[VALOR]]+Tabela2[[#This Row],[VALOR2]]+Tabela2[[#This Row],[AJUDA DE CUSTO]])+Tabela2[[#This Row],[VALOR3]]</f>
        <v>3500</v>
      </c>
      <c r="AB56" s="60" t="s">
        <v>46</v>
      </c>
      <c r="AC56" s="77">
        <v>12</v>
      </c>
      <c r="AD56" s="60"/>
      <c r="AE56" s="58" t="s">
        <v>47</v>
      </c>
      <c r="AF56" s="58" t="s">
        <v>386</v>
      </c>
      <c r="AG56" s="63" t="s">
        <v>46</v>
      </c>
    </row>
    <row r="57" spans="1:1214" s="184" customFormat="1" hidden="1">
      <c r="A57" s="171">
        <v>52</v>
      </c>
      <c r="B57" s="172" t="s">
        <v>400</v>
      </c>
      <c r="C57" s="173" t="s">
        <v>35</v>
      </c>
      <c r="D57" s="173" t="s">
        <v>36</v>
      </c>
      <c r="E57" s="174" t="s">
        <v>58</v>
      </c>
      <c r="F57" s="175">
        <v>45901</v>
      </c>
      <c r="G57" s="175">
        <v>45923</v>
      </c>
      <c r="H57" s="176" t="s">
        <v>401</v>
      </c>
      <c r="I57" s="176"/>
      <c r="J57" s="176"/>
      <c r="K57" s="176"/>
      <c r="L57" s="177" t="s">
        <v>402</v>
      </c>
      <c r="M57" s="178" t="s">
        <v>403</v>
      </c>
      <c r="N57" s="173" t="s">
        <v>404</v>
      </c>
      <c r="O57" s="173" t="s">
        <v>405</v>
      </c>
      <c r="P57" s="175">
        <v>23372</v>
      </c>
      <c r="Q57" s="179" t="s">
        <v>406</v>
      </c>
      <c r="R57" s="176" t="s">
        <v>45</v>
      </c>
      <c r="S57" s="180">
        <v>3500</v>
      </c>
      <c r="T57" s="176"/>
      <c r="U57" s="176"/>
      <c r="V57" s="176"/>
      <c r="W57" s="176"/>
      <c r="X57" s="176"/>
      <c r="Y57" s="176"/>
      <c r="Z57" s="176"/>
      <c r="AA57" s="181">
        <f>SUM(Tabela2[[#This Row],[VALOR DO SERVIÇO CONTRATADO]]+Tabela2[[#This Row],[VALOR]]+Tabela2[[#This Row],[VALOR2]]+Tabela2[[#This Row],[AJUDA DE CUSTO]])+Tabela2[[#This Row],[VALOR3]]</f>
        <v>3500</v>
      </c>
      <c r="AB57" s="176" t="s">
        <v>67</v>
      </c>
      <c r="AC57" s="182">
        <v>12</v>
      </c>
      <c r="AD57" s="183"/>
      <c r="AE57" s="176" t="s">
        <v>47</v>
      </c>
      <c r="AF57" s="176" t="s">
        <v>210</v>
      </c>
      <c r="AG57" s="178" t="s">
        <v>46</v>
      </c>
    </row>
    <row r="58" spans="1:1214" s="184" customFormat="1" hidden="1">
      <c r="A58" s="185">
        <v>53</v>
      </c>
      <c r="B58" s="174" t="s">
        <v>407</v>
      </c>
      <c r="C58" s="174" t="s">
        <v>35</v>
      </c>
      <c r="D58" s="174" t="s">
        <v>36</v>
      </c>
      <c r="E58" s="174" t="s">
        <v>37</v>
      </c>
      <c r="F58" s="186">
        <v>45915</v>
      </c>
      <c r="G58" s="186">
        <v>45931</v>
      </c>
      <c r="H58" s="173" t="s">
        <v>408</v>
      </c>
      <c r="I58" s="173"/>
      <c r="J58" s="173"/>
      <c r="K58" s="173"/>
      <c r="L58" s="187" t="s">
        <v>409</v>
      </c>
      <c r="M58" s="173" t="s">
        <v>410</v>
      </c>
      <c r="N58" s="173" t="s">
        <v>411</v>
      </c>
      <c r="O58" s="173" t="s">
        <v>412</v>
      </c>
      <c r="P58" s="186">
        <v>36252</v>
      </c>
      <c r="Q58" s="173" t="s">
        <v>413</v>
      </c>
      <c r="R58" s="173" t="s">
        <v>45</v>
      </c>
      <c r="S58" s="180">
        <v>3500</v>
      </c>
      <c r="T58" s="173"/>
      <c r="U58" s="180"/>
      <c r="V58" s="173"/>
      <c r="W58" s="180"/>
      <c r="X58" s="180"/>
      <c r="Y58" s="180"/>
      <c r="Z58" s="180"/>
      <c r="AA58" s="188">
        <f>SUM(Tabela2[[#This Row],[VALOR DO SERVIÇO CONTRATADO]]+Tabela2[[#This Row],[VALOR]]+Tabela2[[#This Row],[VALOR2]]+Tabela2[[#This Row],[AJUDA DE CUSTO]])+Tabela2[[#This Row],[VALOR3]]</f>
        <v>3500</v>
      </c>
      <c r="AB58" s="189" t="s">
        <v>46</v>
      </c>
      <c r="AC58" s="182">
        <v>12</v>
      </c>
      <c r="AD58" s="189"/>
      <c r="AE58" s="173" t="s">
        <v>47</v>
      </c>
      <c r="AF58" s="173" t="s">
        <v>319</v>
      </c>
      <c r="AG58" s="190" t="s">
        <v>340</v>
      </c>
    </row>
    <row r="59" spans="1:1214" s="100" customFormat="1" hidden="1">
      <c r="A59" s="112">
        <v>54</v>
      </c>
      <c r="B59" s="55" t="s">
        <v>414</v>
      </c>
      <c r="C59" s="55" t="s">
        <v>35</v>
      </c>
      <c r="D59" s="55" t="s">
        <v>36</v>
      </c>
      <c r="E59" s="55" t="s">
        <v>58</v>
      </c>
      <c r="F59" s="56">
        <v>45918</v>
      </c>
      <c r="G59" s="56">
        <v>45994</v>
      </c>
      <c r="H59" s="58" t="s">
        <v>415</v>
      </c>
      <c r="I59" s="58"/>
      <c r="J59" s="58"/>
      <c r="K59" s="58"/>
      <c r="L59" s="58" t="s">
        <v>416</v>
      </c>
      <c r="M59" s="100" t="s">
        <v>417</v>
      </c>
      <c r="N59" s="100" t="s">
        <v>418</v>
      </c>
      <c r="O59" s="58" t="s">
        <v>419</v>
      </c>
      <c r="P59" s="56">
        <v>32984</v>
      </c>
      <c r="Q59" s="58" t="s">
        <v>420</v>
      </c>
      <c r="R59" s="58" t="s">
        <v>45</v>
      </c>
      <c r="S59" s="61">
        <v>3500</v>
      </c>
      <c r="T59" s="58"/>
      <c r="U59" s="61"/>
      <c r="V59" s="58"/>
      <c r="W59" s="61"/>
      <c r="X59" s="61"/>
      <c r="Y59" s="61"/>
      <c r="Z59" s="61"/>
      <c r="AA59" s="62">
        <f>SUM(Tabela2[[#This Row],[VALOR DO SERVIÇO CONTRATADO]]+Tabela2[[#This Row],[VALOR]]+Tabela2[[#This Row],[VALOR2]]+Tabela2[[#This Row],[AJUDA DE CUSTO]])+Tabela2[[#This Row],[VALOR3]]</f>
        <v>3500</v>
      </c>
      <c r="AB59" s="60" t="s">
        <v>46</v>
      </c>
      <c r="AC59" s="77">
        <v>12</v>
      </c>
      <c r="AD59" s="60"/>
      <c r="AE59" s="58" t="s">
        <v>47</v>
      </c>
      <c r="AF59" s="58" t="s">
        <v>421</v>
      </c>
      <c r="AG59" s="63" t="s">
        <v>46</v>
      </c>
    </row>
    <row r="60" spans="1:1214">
      <c r="A60" s="50">
        <v>55</v>
      </c>
      <c r="B60" s="12" t="s">
        <v>422</v>
      </c>
      <c r="C60" s="12" t="s">
        <v>109</v>
      </c>
      <c r="D60" s="12" t="s">
        <v>69</v>
      </c>
      <c r="E60" s="13" t="s">
        <v>58</v>
      </c>
      <c r="F60" s="14">
        <v>45944</v>
      </c>
      <c r="G60" s="16"/>
      <c r="H60" s="16" t="s">
        <v>423</v>
      </c>
      <c r="I60" s="16"/>
      <c r="J60" s="16"/>
      <c r="K60" s="36"/>
      <c r="L60" s="198" t="s">
        <v>424</v>
      </c>
      <c r="M60" s="16" t="s">
        <v>425</v>
      </c>
      <c r="N60" s="16" t="s">
        <v>426</v>
      </c>
      <c r="O60" s="16" t="s">
        <v>427</v>
      </c>
      <c r="P60" s="14">
        <v>31554</v>
      </c>
      <c r="Q60" s="16" t="s">
        <v>428</v>
      </c>
      <c r="R60" s="16" t="s">
        <v>45</v>
      </c>
      <c r="S60" s="19">
        <v>3750</v>
      </c>
      <c r="T60" s="16"/>
      <c r="U60" s="19"/>
      <c r="V60" s="16"/>
      <c r="W60" s="19"/>
      <c r="X60" s="19"/>
      <c r="Y60" s="19"/>
      <c r="Z60" s="19"/>
      <c r="AA60" s="21">
        <f>SUM(Tabela2[[#This Row],[VALOR DO SERVIÇO CONTRATADO]]+Tabela2[[#This Row],[VALOR]]+Tabela2[[#This Row],[VALOR2]]+Tabela2[[#This Row],[AJUDA DE CUSTO]])+Tabela2[[#This Row],[VALOR3]]</f>
        <v>3750</v>
      </c>
      <c r="AB60" s="22" t="s">
        <v>46</v>
      </c>
      <c r="AC60" s="23">
        <v>12</v>
      </c>
      <c r="AD60" s="22"/>
      <c r="AE60" s="16" t="s">
        <v>91</v>
      </c>
      <c r="AF60" s="16" t="s">
        <v>429</v>
      </c>
      <c r="AG60" s="25" t="s">
        <v>75</v>
      </c>
    </row>
    <row r="61" spans="1:1214" s="184" customFormat="1" hidden="1">
      <c r="A61" s="185">
        <v>56</v>
      </c>
      <c r="B61" s="174" t="s">
        <v>430</v>
      </c>
      <c r="C61" s="174" t="s">
        <v>109</v>
      </c>
      <c r="D61" s="174" t="s">
        <v>36</v>
      </c>
      <c r="E61" s="174" t="s">
        <v>37</v>
      </c>
      <c r="F61" s="186">
        <v>45958</v>
      </c>
      <c r="G61" s="173"/>
      <c r="H61" s="173" t="s">
        <v>431</v>
      </c>
      <c r="I61" s="173"/>
      <c r="J61" s="173"/>
      <c r="K61" s="173"/>
      <c r="L61" s="173" t="s">
        <v>432</v>
      </c>
      <c r="M61" s="184" t="s">
        <v>433</v>
      </c>
      <c r="N61" s="184" t="s">
        <v>434</v>
      </c>
      <c r="O61" s="173" t="s">
        <v>435</v>
      </c>
      <c r="P61" s="186">
        <v>27523</v>
      </c>
      <c r="Q61" s="173" t="s">
        <v>436</v>
      </c>
      <c r="R61" s="173" t="s">
        <v>45</v>
      </c>
      <c r="S61" s="180">
        <v>3500</v>
      </c>
      <c r="T61" s="173"/>
      <c r="U61" s="180"/>
      <c r="V61" s="173"/>
      <c r="W61" s="180"/>
      <c r="X61" s="180"/>
      <c r="Y61" s="180"/>
      <c r="Z61" s="180"/>
      <c r="AA61" s="188">
        <f>SUM(Tabela2[[#This Row],[VALOR DO SERVIÇO CONTRATADO]]+Tabela2[[#This Row],[VALOR]]+Tabela2[[#This Row],[VALOR2]]+Tabela2[[#This Row],[AJUDA DE CUSTO]])+Tabela2[[#This Row],[VALOR3]]</f>
        <v>3500</v>
      </c>
      <c r="AB61" s="189" t="s">
        <v>46</v>
      </c>
      <c r="AC61" s="182">
        <v>12</v>
      </c>
      <c r="AD61" s="189"/>
      <c r="AE61" s="173" t="s">
        <v>47</v>
      </c>
      <c r="AF61" s="173" t="s">
        <v>437</v>
      </c>
      <c r="AG61" s="190" t="s">
        <v>67</v>
      </c>
    </row>
    <row r="62" spans="1:1214" s="184" customFormat="1" hidden="1">
      <c r="A62" s="185">
        <v>57</v>
      </c>
      <c r="B62" s="174" t="s">
        <v>438</v>
      </c>
      <c r="C62" s="174" t="s">
        <v>109</v>
      </c>
      <c r="D62" s="174" t="s">
        <v>36</v>
      </c>
      <c r="E62" s="174" t="s">
        <v>37</v>
      </c>
      <c r="F62" s="186">
        <v>45959</v>
      </c>
      <c r="G62" s="186">
        <v>45999</v>
      </c>
      <c r="H62" s="173" t="s">
        <v>439</v>
      </c>
      <c r="I62" s="173"/>
      <c r="J62" s="173"/>
      <c r="K62" s="173"/>
      <c r="L62" s="173" t="s">
        <v>440</v>
      </c>
      <c r="M62" s="184" t="s">
        <v>441</v>
      </c>
      <c r="N62" s="184" t="s">
        <v>442</v>
      </c>
      <c r="O62" s="173" t="s">
        <v>443</v>
      </c>
      <c r="P62" s="186">
        <v>28762</v>
      </c>
      <c r="Q62" s="173"/>
      <c r="R62" s="173" t="s">
        <v>45</v>
      </c>
      <c r="S62" s="180">
        <v>3500</v>
      </c>
      <c r="T62" s="173"/>
      <c r="U62" s="180"/>
      <c r="V62" s="173"/>
      <c r="W62" s="180"/>
      <c r="X62" s="180"/>
      <c r="Y62" s="180"/>
      <c r="Z62" s="180"/>
      <c r="AA62" s="188">
        <f>SUM(Tabela2[[#This Row],[VALOR DO SERVIÇO CONTRATADO]]+Tabela2[[#This Row],[VALOR]]+Tabela2[[#This Row],[VALOR2]]+Tabela2[[#This Row],[AJUDA DE CUSTO]])+Tabela2[[#This Row],[VALOR3]]</f>
        <v>3500</v>
      </c>
      <c r="AB62" s="189" t="s">
        <v>46</v>
      </c>
      <c r="AC62" s="182">
        <v>12</v>
      </c>
      <c r="AD62" s="189"/>
      <c r="AE62" s="173" t="s">
        <v>47</v>
      </c>
      <c r="AF62" s="173" t="s">
        <v>210</v>
      </c>
      <c r="AG62" s="190" t="s">
        <v>340</v>
      </c>
    </row>
    <row r="63" spans="1:1214" s="184" customFormat="1" hidden="1">
      <c r="A63" s="185">
        <v>58</v>
      </c>
      <c r="B63" s="174" t="s">
        <v>444</v>
      </c>
      <c r="C63" s="174" t="s">
        <v>109</v>
      </c>
      <c r="D63" s="174" t="s">
        <v>36</v>
      </c>
      <c r="E63" s="174" t="s">
        <v>37</v>
      </c>
      <c r="F63" s="186">
        <v>46055</v>
      </c>
      <c r="G63" s="173"/>
      <c r="H63" s="173" t="s">
        <v>445</v>
      </c>
      <c r="I63" s="173"/>
      <c r="J63" s="173"/>
      <c r="K63" s="173"/>
      <c r="L63" s="187" t="s">
        <v>446</v>
      </c>
      <c r="M63" s="184" t="s">
        <v>447</v>
      </c>
      <c r="N63" s="173" t="s">
        <v>448</v>
      </c>
      <c r="O63" s="173" t="s">
        <v>449</v>
      </c>
      <c r="P63" s="186">
        <v>27479</v>
      </c>
      <c r="Q63" s="173" t="s">
        <v>450</v>
      </c>
      <c r="R63" s="173" t="s">
        <v>45</v>
      </c>
      <c r="S63" s="180">
        <v>3500</v>
      </c>
      <c r="T63" s="173"/>
      <c r="U63" s="180"/>
      <c r="V63" s="173"/>
      <c r="W63" s="180"/>
      <c r="X63" s="180"/>
      <c r="Y63" s="180"/>
      <c r="Z63" s="180"/>
      <c r="AA63" s="188">
        <f>SUM(Tabela2[[#This Row],[VALOR DO SERVIÇO CONTRATADO]]+Tabela2[[#This Row],[VALOR]]+Tabela2[[#This Row],[VALOR2]]+Tabela2[[#This Row],[AJUDA DE CUSTO]])+Tabela2[[#This Row],[VALOR3]]</f>
        <v>3500</v>
      </c>
      <c r="AB63" s="189" t="s">
        <v>46</v>
      </c>
      <c r="AC63" s="182">
        <v>12</v>
      </c>
      <c r="AD63" s="189"/>
      <c r="AE63" s="173" t="s">
        <v>47</v>
      </c>
      <c r="AF63" s="173" t="s">
        <v>210</v>
      </c>
      <c r="AG63" s="190" t="s">
        <v>340</v>
      </c>
    </row>
    <row r="64" spans="1:1214">
      <c r="A64" s="50">
        <v>59</v>
      </c>
      <c r="B64" s="12" t="s">
        <v>451</v>
      </c>
      <c r="C64" s="12" t="s">
        <v>35</v>
      </c>
      <c r="D64" s="12" t="s">
        <v>69</v>
      </c>
      <c r="E64" s="13" t="s">
        <v>58</v>
      </c>
      <c r="F64" s="14">
        <v>46068</v>
      </c>
      <c r="G64" s="16"/>
      <c r="H64" s="16" t="s">
        <v>452</v>
      </c>
      <c r="I64" s="16"/>
      <c r="J64" s="16"/>
      <c r="K64" s="36"/>
      <c r="L64" s="17" t="s">
        <v>453</v>
      </c>
      <c r="M64" s="16" t="s">
        <v>454</v>
      </c>
      <c r="N64" s="16" t="s">
        <v>455</v>
      </c>
      <c r="O64" s="16" t="s">
        <v>456</v>
      </c>
      <c r="P64" s="14">
        <v>37282</v>
      </c>
      <c r="Q64" s="16" t="s">
        <v>457</v>
      </c>
      <c r="R64" s="16" t="s">
        <v>45</v>
      </c>
      <c r="S64" s="208">
        <v>4372</v>
      </c>
      <c r="T64" s="16"/>
      <c r="U64" s="19"/>
      <c r="V64" s="16"/>
      <c r="W64" s="19"/>
      <c r="X64" s="19"/>
      <c r="Y64" s="19"/>
      <c r="Z64" s="19"/>
      <c r="AA64" s="21">
        <f>SUM(Tabela2[[#This Row],[VALOR DO SERVIÇO CONTRATADO]]+Tabela2[[#This Row],[VALOR]]+Tabela2[[#This Row],[VALOR2]]+Tabela2[[#This Row],[AJUDA DE CUSTO]])+Tabela2[[#This Row],[VALOR3]]</f>
        <v>4372</v>
      </c>
      <c r="AB64" s="22" t="s">
        <v>46</v>
      </c>
      <c r="AC64" s="23">
        <v>12</v>
      </c>
      <c r="AD64" s="24" t="s">
        <v>458</v>
      </c>
      <c r="AE64" s="16" t="s">
        <v>91</v>
      </c>
      <c r="AF64" s="16" t="s">
        <v>459</v>
      </c>
      <c r="AG64" s="25" t="s">
        <v>460</v>
      </c>
    </row>
    <row r="65" spans="1:33" s="100" customFormat="1" ht="61.5" hidden="1" customHeight="1">
      <c r="A65" s="112">
        <v>60</v>
      </c>
      <c r="B65" s="55" t="s">
        <v>461</v>
      </c>
      <c r="C65" s="55" t="s">
        <v>462</v>
      </c>
      <c r="D65" s="55" t="s">
        <v>36</v>
      </c>
      <c r="E65" s="55" t="s">
        <v>58</v>
      </c>
      <c r="F65" s="56">
        <v>46097</v>
      </c>
      <c r="G65" s="58"/>
      <c r="H65" s="58"/>
      <c r="I65" s="58"/>
      <c r="J65" s="58"/>
      <c r="K65" s="58"/>
      <c r="L65" s="58"/>
      <c r="M65" s="58" t="s">
        <v>463</v>
      </c>
      <c r="N65" s="58" t="s">
        <v>464</v>
      </c>
      <c r="O65" s="58" t="s">
        <v>465</v>
      </c>
      <c r="P65" s="56">
        <v>31329</v>
      </c>
      <c r="Q65" s="58" t="s">
        <v>466</v>
      </c>
      <c r="R65" s="58" t="s">
        <v>45</v>
      </c>
      <c r="S65" s="61">
        <v>10000</v>
      </c>
      <c r="T65" s="58"/>
      <c r="U65" s="61"/>
      <c r="V65" s="58"/>
      <c r="W65" s="61"/>
      <c r="X65" s="61"/>
      <c r="Y65" s="61"/>
      <c r="Z65" s="61"/>
      <c r="AA65" s="62">
        <f>SUM(Tabela2[[#This Row],[VALOR DO SERVIÇO CONTRATADO]]+Tabela2[[#This Row],[VALOR]]+Tabela2[[#This Row],[VALOR2]]+Tabela2[[#This Row],[AJUDA DE CUSTO]])+Tabela2[[#This Row],[VALOR3]]</f>
        <v>10000</v>
      </c>
      <c r="AB65" s="60" t="s">
        <v>46</v>
      </c>
      <c r="AC65" s="77">
        <v>15</v>
      </c>
      <c r="AD65" s="215" t="s">
        <v>467</v>
      </c>
      <c r="AE65" s="58" t="s">
        <v>91</v>
      </c>
      <c r="AF65" s="58" t="s">
        <v>468</v>
      </c>
      <c r="AG65" s="63" t="s">
        <v>75</v>
      </c>
    </row>
    <row r="66" spans="1:33" ht="60">
      <c r="A66" s="50">
        <v>61</v>
      </c>
      <c r="B66" s="12" t="s">
        <v>469</v>
      </c>
      <c r="C66" s="12" t="s">
        <v>462</v>
      </c>
      <c r="D66" s="12" t="s">
        <v>69</v>
      </c>
      <c r="E66" s="13" t="s">
        <v>58</v>
      </c>
      <c r="F66" s="14">
        <v>46097</v>
      </c>
      <c r="G66" s="16"/>
      <c r="H66" s="16" t="s">
        <v>470</v>
      </c>
      <c r="I66" s="16"/>
      <c r="J66" s="16"/>
      <c r="K66" s="36"/>
      <c r="L66" s="17" t="s">
        <v>471</v>
      </c>
      <c r="M66" s="16" t="s">
        <v>472</v>
      </c>
      <c r="N66" s="16" t="s">
        <v>473</v>
      </c>
      <c r="O66" s="16" t="s">
        <v>474</v>
      </c>
      <c r="P66" s="14">
        <v>26374</v>
      </c>
      <c r="Q66" s="16" t="s">
        <v>475</v>
      </c>
      <c r="R66" s="16" t="s">
        <v>45</v>
      </c>
      <c r="S66" s="19">
        <v>3900</v>
      </c>
      <c r="T66" s="16"/>
      <c r="U66" s="19"/>
      <c r="V66" s="16"/>
      <c r="W66" s="19"/>
      <c r="X66" s="19"/>
      <c r="Y66" s="19"/>
      <c r="Z66" s="19"/>
      <c r="AA66" s="21">
        <f>SUM(Tabela2[[#This Row],[VALOR DO SERVIÇO CONTRATADO]]+Tabela2[[#This Row],[VALOR]]+Tabela2[[#This Row],[VALOR2]]+Tabela2[[#This Row],[AJUDA DE CUSTO]])+Tabela2[[#This Row],[VALOR3]]</f>
        <v>3900</v>
      </c>
      <c r="AB66" s="22" t="s">
        <v>46</v>
      </c>
      <c r="AC66" s="23">
        <v>15</v>
      </c>
      <c r="AD66" s="211" t="s">
        <v>467</v>
      </c>
      <c r="AE66" s="16" t="s">
        <v>91</v>
      </c>
      <c r="AF66" s="16"/>
      <c r="AG66" s="25" t="s">
        <v>75</v>
      </c>
    </row>
    <row r="67" spans="1:33" s="100" customFormat="1" ht="55.5" hidden="1" customHeight="1">
      <c r="A67" s="112">
        <v>62</v>
      </c>
      <c r="B67" s="55" t="s">
        <v>476</v>
      </c>
      <c r="C67" s="55" t="s">
        <v>462</v>
      </c>
      <c r="D67" s="55" t="s">
        <v>36</v>
      </c>
      <c r="E67" s="55" t="s">
        <v>58</v>
      </c>
      <c r="F67" s="56">
        <v>46097</v>
      </c>
      <c r="G67" s="58"/>
      <c r="H67" s="58" t="s">
        <v>477</v>
      </c>
      <c r="I67" s="58"/>
      <c r="J67" s="58"/>
      <c r="K67" s="65" t="s">
        <v>478</v>
      </c>
      <c r="L67" s="65" t="s">
        <v>479</v>
      </c>
      <c r="M67" s="58" t="s">
        <v>480</v>
      </c>
      <c r="N67" s="58" t="s">
        <v>481</v>
      </c>
      <c r="O67" s="58" t="s">
        <v>482</v>
      </c>
      <c r="P67" s="56">
        <v>24709</v>
      </c>
      <c r="Q67" s="58" t="s">
        <v>483</v>
      </c>
      <c r="R67" s="58" t="s">
        <v>45</v>
      </c>
      <c r="S67" s="61">
        <v>5600</v>
      </c>
      <c r="T67" s="58"/>
      <c r="U67" s="61"/>
      <c r="V67" s="58"/>
      <c r="W67" s="61"/>
      <c r="X67" s="61"/>
      <c r="Y67" s="61"/>
      <c r="Z67" s="61"/>
      <c r="AA67" s="62">
        <f>SUM(Tabela2[[#This Row],[VALOR DO SERVIÇO CONTRATADO]]+Tabela2[[#This Row],[VALOR]]+Tabela2[[#This Row],[VALOR2]]+Tabela2[[#This Row],[AJUDA DE CUSTO]])+Tabela2[[#This Row],[VALOR3]]</f>
        <v>5600</v>
      </c>
      <c r="AB67" s="60" t="s">
        <v>46</v>
      </c>
      <c r="AC67" s="77">
        <v>15</v>
      </c>
      <c r="AD67" s="215" t="s">
        <v>467</v>
      </c>
      <c r="AE67" s="58" t="s">
        <v>484</v>
      </c>
      <c r="AF67" s="58" t="s">
        <v>485</v>
      </c>
      <c r="AG67" s="63" t="s">
        <v>460</v>
      </c>
    </row>
    <row r="68" spans="1:33">
      <c r="A68" s="50">
        <v>63</v>
      </c>
      <c r="B68" s="12" t="s">
        <v>486</v>
      </c>
      <c r="C68" s="12" t="s">
        <v>462</v>
      </c>
      <c r="D68" s="12" t="s">
        <v>69</v>
      </c>
      <c r="E68" s="13" t="s">
        <v>58</v>
      </c>
      <c r="F68" s="14">
        <v>46076</v>
      </c>
      <c r="G68" s="16"/>
      <c r="H68" s="16"/>
      <c r="I68" s="16"/>
      <c r="J68" s="16"/>
      <c r="K68" s="36"/>
      <c r="L68" s="16"/>
      <c r="M68" s="16"/>
      <c r="N68" s="16"/>
      <c r="O68" s="16"/>
      <c r="P68" s="14">
        <v>31162</v>
      </c>
      <c r="Q68" s="16"/>
      <c r="R68" s="16" t="s">
        <v>45</v>
      </c>
      <c r="S68" s="19"/>
      <c r="T68" s="16"/>
      <c r="U68" s="19"/>
      <c r="V68" s="16"/>
      <c r="W68" s="19"/>
      <c r="X68" s="19"/>
      <c r="Y68" s="19"/>
      <c r="Z68" s="19"/>
      <c r="AA68" s="21">
        <f>SUM(Tabela2[[#This Row],[VALOR DO SERVIÇO CONTRATADO]]+Tabela2[[#This Row],[VALOR]]+Tabela2[[#This Row],[VALOR2]]+Tabela2[[#This Row],[AJUDA DE CUSTO]])+Tabela2[[#This Row],[VALOR3]]</f>
        <v>0</v>
      </c>
      <c r="AB68" s="22" t="s">
        <v>46</v>
      </c>
      <c r="AC68" s="23"/>
      <c r="AD68" s="22"/>
      <c r="AE68" s="16" t="s">
        <v>91</v>
      </c>
      <c r="AF68" s="16" t="s">
        <v>487</v>
      </c>
      <c r="AG68" s="25" t="s">
        <v>75</v>
      </c>
    </row>
    <row r="69" spans="1:33" ht="60">
      <c r="A69" s="50">
        <v>64</v>
      </c>
      <c r="B69" s="12" t="s">
        <v>488</v>
      </c>
      <c r="C69" s="12" t="s">
        <v>462</v>
      </c>
      <c r="D69" s="12" t="s">
        <v>69</v>
      </c>
      <c r="E69" s="13" t="s">
        <v>37</v>
      </c>
      <c r="F69" s="14">
        <v>46097</v>
      </c>
      <c r="G69" s="16"/>
      <c r="H69" s="16" t="s">
        <v>489</v>
      </c>
      <c r="I69" s="16"/>
      <c r="J69" s="16"/>
      <c r="K69" s="17" t="s">
        <v>490</v>
      </c>
      <c r="L69" s="17" t="s">
        <v>491</v>
      </c>
      <c r="M69" s="16" t="s">
        <v>492</v>
      </c>
      <c r="N69" s="16" t="s">
        <v>493</v>
      </c>
      <c r="O69" s="16" t="s">
        <v>494</v>
      </c>
      <c r="P69" s="14">
        <v>29958</v>
      </c>
      <c r="Q69" s="16" t="s">
        <v>495</v>
      </c>
      <c r="R69" s="16" t="s">
        <v>45</v>
      </c>
      <c r="S69" s="19">
        <v>3213.8</v>
      </c>
      <c r="T69" s="16"/>
      <c r="U69" s="19"/>
      <c r="V69" s="16"/>
      <c r="W69" s="19"/>
      <c r="X69" s="19"/>
      <c r="Y69" s="19"/>
      <c r="Z69" s="19"/>
      <c r="AA69" s="21">
        <f>SUM(Tabela2[[#This Row],[VALOR DO SERVIÇO CONTRATADO]]+Tabela2[[#This Row],[VALOR]]+Tabela2[[#This Row],[VALOR2]]+Tabela2[[#This Row],[AJUDA DE CUSTO]])+Tabela2[[#This Row],[VALOR3]]</f>
        <v>3213.8</v>
      </c>
      <c r="AB69" s="22" t="s">
        <v>46</v>
      </c>
      <c r="AC69" s="23">
        <v>15</v>
      </c>
      <c r="AD69" s="211" t="s">
        <v>467</v>
      </c>
      <c r="AE69" s="16" t="s">
        <v>47</v>
      </c>
      <c r="AF69" s="16" t="s">
        <v>496</v>
      </c>
      <c r="AG69" s="25" t="s">
        <v>460</v>
      </c>
    </row>
    <row r="70" spans="1:33">
      <c r="A70" s="50">
        <v>65</v>
      </c>
      <c r="B70" s="12" t="s">
        <v>497</v>
      </c>
      <c r="C70" s="12" t="s">
        <v>109</v>
      </c>
      <c r="D70" s="12" t="s">
        <v>69</v>
      </c>
      <c r="E70" s="13" t="s">
        <v>58</v>
      </c>
      <c r="F70" s="14">
        <v>46121</v>
      </c>
      <c r="G70" s="16"/>
      <c r="H70" s="16" t="s">
        <v>498</v>
      </c>
      <c r="I70" s="16"/>
      <c r="J70" s="16"/>
      <c r="K70" s="17" t="s">
        <v>499</v>
      </c>
      <c r="L70" s="17" t="s">
        <v>500</v>
      </c>
      <c r="M70" s="16" t="s">
        <v>501</v>
      </c>
      <c r="N70" s="16" t="s">
        <v>502</v>
      </c>
      <c r="O70" s="16" t="s">
        <v>503</v>
      </c>
      <c r="P70" s="14">
        <v>34239</v>
      </c>
      <c r="Q70" s="26" t="s">
        <v>504</v>
      </c>
      <c r="R70" s="16" t="s">
        <v>45</v>
      </c>
      <c r="S70" s="19">
        <v>4500</v>
      </c>
      <c r="T70" s="16"/>
      <c r="U70" s="19"/>
      <c r="V70" s="16"/>
      <c r="W70" s="19"/>
      <c r="X70" s="19"/>
      <c r="Y70" s="19"/>
      <c r="Z70" s="19"/>
      <c r="AA70" s="21">
        <f>SUM(Tabela2[[#This Row],[VALOR DO SERVIÇO CONTRATADO]]+Tabela2[[#This Row],[VALOR]]+Tabela2[[#This Row],[VALOR2]]+Tabela2[[#This Row],[AJUDA DE CUSTO]])+Tabela2[[#This Row],[VALOR3]]</f>
        <v>4500</v>
      </c>
      <c r="AB70" s="22" t="s">
        <v>46</v>
      </c>
      <c r="AC70" s="23">
        <v>15</v>
      </c>
      <c r="AD70" s="22"/>
      <c r="AE70" s="16" t="s">
        <v>91</v>
      </c>
      <c r="AF70" s="16" t="s">
        <v>505</v>
      </c>
      <c r="AG70" s="25" t="s">
        <v>75</v>
      </c>
    </row>
    <row r="71" spans="1:33">
      <c r="A71" s="50">
        <v>66</v>
      </c>
      <c r="B71" s="12" t="s">
        <v>506</v>
      </c>
      <c r="C71" s="12" t="s">
        <v>109</v>
      </c>
      <c r="D71" s="12" t="s">
        <v>69</v>
      </c>
      <c r="E71" s="13" t="s">
        <v>58</v>
      </c>
      <c r="F71" s="14">
        <v>46118</v>
      </c>
      <c r="G71" s="16"/>
      <c r="H71" s="16" t="s">
        <v>507</v>
      </c>
      <c r="I71" s="16"/>
      <c r="J71" s="16"/>
      <c r="K71" s="17" t="s">
        <v>508</v>
      </c>
      <c r="L71" s="17" t="s">
        <v>509</v>
      </c>
      <c r="M71" s="16" t="s">
        <v>510</v>
      </c>
      <c r="N71" s="16" t="s">
        <v>511</v>
      </c>
      <c r="O71" s="16" t="s">
        <v>512</v>
      </c>
      <c r="P71" s="14">
        <v>31104</v>
      </c>
      <c r="Q71" s="16" t="s">
        <v>513</v>
      </c>
      <c r="R71" s="16" t="s">
        <v>45</v>
      </c>
      <c r="S71" s="19">
        <v>3500</v>
      </c>
      <c r="T71" s="16"/>
      <c r="U71" s="19"/>
      <c r="V71" s="16"/>
      <c r="W71" s="19"/>
      <c r="X71" s="19"/>
      <c r="Y71" s="19"/>
      <c r="Z71" s="19"/>
      <c r="AA71" s="21">
        <f>SUM(Tabela2[[#This Row],[VALOR DO SERVIÇO CONTRATADO]]+Tabela2[[#This Row],[VALOR]]+Tabela2[[#This Row],[VALOR2]]+Tabela2[[#This Row],[AJUDA DE CUSTO]])+Tabela2[[#This Row],[VALOR3]]</f>
        <v>3500</v>
      </c>
      <c r="AB71" s="22" t="s">
        <v>46</v>
      </c>
      <c r="AC71" s="23">
        <v>15</v>
      </c>
      <c r="AD71" s="22"/>
      <c r="AE71" s="16" t="s">
        <v>47</v>
      </c>
      <c r="AF71" s="16" t="s">
        <v>421</v>
      </c>
      <c r="AG71" s="25" t="s">
        <v>67</v>
      </c>
    </row>
    <row r="72" spans="1:33">
      <c r="A72" s="50">
        <v>67</v>
      </c>
      <c r="B72" s="12" t="s">
        <v>514</v>
      </c>
      <c r="C72" s="12" t="s">
        <v>109</v>
      </c>
      <c r="D72" s="12" t="s">
        <v>69</v>
      </c>
      <c r="E72" s="13" t="s">
        <v>37</v>
      </c>
      <c r="F72" s="14">
        <v>46162</v>
      </c>
      <c r="G72" s="16"/>
      <c r="H72" s="16" t="s">
        <v>515</v>
      </c>
      <c r="I72" s="16"/>
      <c r="J72" s="16"/>
      <c r="K72" s="17" t="s">
        <v>516</v>
      </c>
      <c r="L72" s="17" t="s">
        <v>517</v>
      </c>
      <c r="M72" s="16" t="s">
        <v>518</v>
      </c>
      <c r="N72" s="16" t="s">
        <v>519</v>
      </c>
      <c r="O72" s="16" t="s">
        <v>520</v>
      </c>
      <c r="P72" s="14">
        <v>28544</v>
      </c>
      <c r="Q72" s="16" t="s">
        <v>521</v>
      </c>
      <c r="R72" s="16" t="s">
        <v>45</v>
      </c>
      <c r="S72" s="19">
        <v>4000</v>
      </c>
      <c r="T72" s="16"/>
      <c r="U72" s="19"/>
      <c r="V72" s="16"/>
      <c r="W72" s="19"/>
      <c r="X72" s="19"/>
      <c r="Y72" s="19"/>
      <c r="Z72" s="19"/>
      <c r="AA72" s="21">
        <f>SUM(Tabela2[[#This Row],[VALOR DO SERVIÇO CONTRATADO]]+Tabela2[[#This Row],[VALOR]]+Tabela2[[#This Row],[VALOR2]]+Tabela2[[#This Row],[AJUDA DE CUSTO]])+Tabela2[[#This Row],[VALOR3]]</f>
        <v>4000</v>
      </c>
      <c r="AB72" s="22" t="s">
        <v>46</v>
      </c>
      <c r="AC72" s="23">
        <v>15</v>
      </c>
      <c r="AD72" s="22"/>
      <c r="AE72" s="16" t="s">
        <v>47</v>
      </c>
      <c r="AF72" s="16" t="s">
        <v>522</v>
      </c>
      <c r="AG72" s="25" t="s">
        <v>67</v>
      </c>
    </row>
    <row r="73" spans="1:33">
      <c r="A73" s="50">
        <v>68</v>
      </c>
      <c r="B73" s="12" t="s">
        <v>523</v>
      </c>
      <c r="C73" s="12" t="s">
        <v>109</v>
      </c>
      <c r="D73" s="12" t="s">
        <v>69</v>
      </c>
      <c r="E73" s="13" t="s">
        <v>58</v>
      </c>
      <c r="F73" s="14">
        <v>46174</v>
      </c>
      <c r="G73" s="16"/>
      <c r="H73" s="16" t="s">
        <v>524</v>
      </c>
      <c r="I73" s="16"/>
      <c r="J73" s="16"/>
      <c r="K73" s="17" t="s">
        <v>525</v>
      </c>
      <c r="L73" s="17" t="s">
        <v>526</v>
      </c>
      <c r="M73" s="16" t="s">
        <v>527</v>
      </c>
      <c r="N73" s="16" t="s">
        <v>528</v>
      </c>
      <c r="O73" s="16" t="s">
        <v>529</v>
      </c>
      <c r="P73" s="14">
        <v>26969</v>
      </c>
      <c r="Q73" s="16" t="s">
        <v>530</v>
      </c>
      <c r="R73" s="16" t="s">
        <v>45</v>
      </c>
      <c r="S73" s="19">
        <v>7500</v>
      </c>
      <c r="T73" s="16"/>
      <c r="U73" s="19"/>
      <c r="V73" s="16"/>
      <c r="W73" s="19"/>
      <c r="X73" s="19"/>
      <c r="Y73" s="19"/>
      <c r="Z73" s="19"/>
      <c r="AA73" s="21">
        <f>SUM(Tabela2[[#This Row],[VALOR DO SERVIÇO CONTRATADO]]+Tabela2[[#This Row],[VALOR]]+Tabela2[[#This Row],[VALOR2]]+Tabela2[[#This Row],[AJUDA DE CUSTO]])+Tabela2[[#This Row],[VALOR3]]</f>
        <v>7500</v>
      </c>
      <c r="AB73" s="22" t="s">
        <v>46</v>
      </c>
      <c r="AC73" s="32">
        <v>15</v>
      </c>
      <c r="AD73" s="22"/>
      <c r="AE73" s="16" t="s">
        <v>484</v>
      </c>
      <c r="AF73" s="16" t="s">
        <v>485</v>
      </c>
      <c r="AG73" s="25" t="s">
        <v>75</v>
      </c>
    </row>
    <row r="74" spans="1:33">
      <c r="A74" s="50">
        <v>69</v>
      </c>
      <c r="B74" s="12" t="s">
        <v>531</v>
      </c>
      <c r="C74" s="12" t="s">
        <v>109</v>
      </c>
      <c r="D74" s="12" t="s">
        <v>69</v>
      </c>
      <c r="E74" s="13" t="s">
        <v>58</v>
      </c>
      <c r="F74" s="14">
        <v>46181</v>
      </c>
      <c r="G74" s="16"/>
      <c r="H74" s="16" t="s">
        <v>532</v>
      </c>
      <c r="I74" s="16"/>
      <c r="J74" s="16"/>
      <c r="K74" s="17" t="s">
        <v>533</v>
      </c>
      <c r="L74" s="17" t="s">
        <v>534</v>
      </c>
      <c r="M74" s="16" t="s">
        <v>535</v>
      </c>
      <c r="N74" s="16" t="s">
        <v>536</v>
      </c>
      <c r="O74" s="16" t="s">
        <v>537</v>
      </c>
      <c r="P74" s="14">
        <v>30601</v>
      </c>
      <c r="Q74" s="16" t="s">
        <v>538</v>
      </c>
      <c r="R74" s="16" t="s">
        <v>45</v>
      </c>
      <c r="S74" s="19">
        <v>12000</v>
      </c>
      <c r="T74" s="16"/>
      <c r="U74" s="19"/>
      <c r="V74" s="16"/>
      <c r="W74" s="19"/>
      <c r="X74" s="19"/>
      <c r="Y74" s="19"/>
      <c r="Z74" s="19"/>
      <c r="AA74" s="21">
        <f>SUM(Tabela2[[#This Row],[VALOR DO SERVIÇO CONTRATADO]]+Tabela2[[#This Row],[VALOR]]+Tabela2[[#This Row],[VALOR2]]+Tabela2[[#This Row],[AJUDA DE CUSTO]])+Tabela2[[#This Row],[VALOR3]]</f>
        <v>12000</v>
      </c>
      <c r="AB74" s="22" t="s">
        <v>46</v>
      </c>
      <c r="AC74" s="23">
        <v>15</v>
      </c>
      <c r="AD74" s="22"/>
      <c r="AE74" s="16" t="s">
        <v>91</v>
      </c>
      <c r="AF74" s="16" t="s">
        <v>539</v>
      </c>
      <c r="AG74" s="25" t="s">
        <v>75</v>
      </c>
    </row>
    <row r="75" spans="1:33" ht="14.45" hidden="1" customHeight="1">
      <c r="A75" s="50"/>
      <c r="B75" s="12"/>
      <c r="C75" s="12"/>
      <c r="D75" s="12"/>
      <c r="E75" s="13"/>
      <c r="F75" s="16"/>
      <c r="G75" s="16"/>
      <c r="H75" s="16"/>
      <c r="I75" s="16"/>
      <c r="J75" s="16"/>
      <c r="K75" s="36" t="s">
        <v>533</v>
      </c>
      <c r="L75" s="16"/>
      <c r="M75" s="16"/>
      <c r="N75" s="16"/>
      <c r="O75" s="16"/>
      <c r="P75" s="16"/>
      <c r="Q75" s="16"/>
      <c r="R75" s="16"/>
      <c r="S75" s="19"/>
      <c r="T75" s="16"/>
      <c r="U75" s="19"/>
      <c r="V75" s="16"/>
      <c r="W75" s="19"/>
      <c r="X75" s="19"/>
      <c r="Y75" s="19"/>
      <c r="Z75" s="19"/>
      <c r="AA75" s="21">
        <f>SUM(Tabela2[[#This Row],[VALOR DO SERVIÇO CONTRATADO]]+Tabela2[[#This Row],[VALOR]]+Tabela2[[#This Row],[VALOR2]]+Tabela2[[#This Row],[AJUDA DE CUSTO]])+Tabela2[[#This Row],[VALOR3]]</f>
        <v>0</v>
      </c>
      <c r="AB75" s="22"/>
      <c r="AC75" s="23"/>
      <c r="AD75" s="22"/>
      <c r="AE75" s="16"/>
      <c r="AF75" s="16"/>
      <c r="AG75" s="25"/>
    </row>
    <row r="76" spans="1:33" hidden="1">
      <c r="A76" s="50"/>
      <c r="B76" s="12"/>
      <c r="C76" s="12"/>
      <c r="D76" s="12"/>
      <c r="E76" s="13"/>
      <c r="F76" s="16"/>
      <c r="G76" s="16"/>
      <c r="H76" s="16"/>
      <c r="I76" s="16"/>
      <c r="J76" s="16"/>
      <c r="K76" s="36"/>
      <c r="L76" s="16"/>
      <c r="M76" s="16"/>
      <c r="N76" s="16"/>
      <c r="O76" s="16"/>
      <c r="P76" s="16"/>
      <c r="Q76" s="16"/>
      <c r="R76" s="16"/>
      <c r="S76" s="19"/>
      <c r="T76" s="16"/>
      <c r="U76" s="19"/>
      <c r="V76" s="16"/>
      <c r="W76" s="19"/>
      <c r="X76" s="19"/>
      <c r="Y76" s="19"/>
      <c r="Z76" s="19"/>
      <c r="AA76" s="21">
        <f>SUM(Tabela2[[#This Row],[VALOR DO SERVIÇO CONTRATADO]]+Tabela2[[#This Row],[VALOR]]+Tabela2[[#This Row],[VALOR2]]+Tabela2[[#This Row],[AJUDA DE CUSTO]])+Tabela2[[#This Row],[VALOR3]]</f>
        <v>0</v>
      </c>
      <c r="AB76" s="22"/>
      <c r="AC76" s="23"/>
      <c r="AD76" s="22"/>
      <c r="AE76" s="16"/>
      <c r="AF76" s="16"/>
      <c r="AG76" s="25"/>
    </row>
    <row r="77" spans="1:33" hidden="1">
      <c r="A77" s="50"/>
      <c r="B77" s="12"/>
      <c r="C77" s="12"/>
      <c r="D77" s="12"/>
      <c r="E77" s="13"/>
      <c r="F77" s="16"/>
      <c r="G77" s="16"/>
      <c r="H77" s="16"/>
      <c r="I77" s="16"/>
      <c r="J77" s="16"/>
      <c r="K77" s="36"/>
      <c r="L77" s="16"/>
      <c r="M77" s="16"/>
      <c r="N77" s="16"/>
      <c r="O77" s="16"/>
      <c r="P77" s="16"/>
      <c r="Q77" s="16"/>
      <c r="R77" s="16"/>
      <c r="S77" s="19"/>
      <c r="T77" s="16"/>
      <c r="U77" s="19"/>
      <c r="V77" s="16"/>
      <c r="W77" s="19"/>
      <c r="X77" s="19"/>
      <c r="Y77" s="19"/>
      <c r="Z77" s="19"/>
      <c r="AA77" s="21">
        <f>SUM(Tabela2[[#This Row],[VALOR DO SERVIÇO CONTRATADO]]+Tabela2[[#This Row],[VALOR]]+Tabela2[[#This Row],[VALOR2]]+Tabela2[[#This Row],[AJUDA DE CUSTO]])+Tabela2[[#This Row],[VALOR3]]</f>
        <v>0</v>
      </c>
      <c r="AB77" s="22"/>
      <c r="AC77" s="23"/>
      <c r="AD77" s="22"/>
      <c r="AE77" s="16"/>
      <c r="AF77" s="16"/>
      <c r="AG77" s="25"/>
    </row>
    <row r="78" spans="1:33" hidden="1">
      <c r="A78" s="50"/>
      <c r="B78" s="12"/>
      <c r="C78" s="12"/>
      <c r="D78" s="12"/>
      <c r="E78" s="13"/>
      <c r="F78" s="16"/>
      <c r="G78" s="16"/>
      <c r="H78" s="16"/>
      <c r="I78" s="16"/>
      <c r="J78" s="16"/>
      <c r="K78" s="36"/>
      <c r="L78" s="16"/>
      <c r="M78" s="16"/>
      <c r="N78" s="16"/>
      <c r="O78" s="16"/>
      <c r="P78" s="16"/>
      <c r="Q78" s="16"/>
      <c r="R78" s="16"/>
      <c r="S78" s="19"/>
      <c r="T78" s="16"/>
      <c r="U78" s="19"/>
      <c r="V78" s="16"/>
      <c r="W78" s="19"/>
      <c r="X78" s="19"/>
      <c r="Y78" s="19"/>
      <c r="Z78" s="19"/>
      <c r="AA78" s="21">
        <f>SUM(Tabela2[[#This Row],[VALOR DO SERVIÇO CONTRATADO]]+Tabela2[[#This Row],[VALOR]]+Tabela2[[#This Row],[VALOR2]]+Tabela2[[#This Row],[AJUDA DE CUSTO]])+Tabela2[[#This Row],[VALOR3]]</f>
        <v>0</v>
      </c>
      <c r="AB78" s="22"/>
      <c r="AC78" s="23"/>
      <c r="AD78" s="22"/>
      <c r="AE78" s="16"/>
      <c r="AF78" s="16"/>
      <c r="AG78" s="25"/>
    </row>
    <row r="79" spans="1:33" hidden="1">
      <c r="A79" s="50"/>
      <c r="B79" s="12"/>
      <c r="C79" s="12"/>
      <c r="D79" s="12"/>
      <c r="E79" s="13"/>
      <c r="F79" s="16"/>
      <c r="G79" s="16"/>
      <c r="H79" s="16"/>
      <c r="I79" s="16"/>
      <c r="J79" s="16"/>
      <c r="K79" s="36"/>
      <c r="L79" s="16"/>
      <c r="M79" s="16"/>
      <c r="N79" s="16"/>
      <c r="O79" s="16"/>
      <c r="P79" s="16"/>
      <c r="Q79" s="16"/>
      <c r="R79" s="16"/>
      <c r="S79" s="19"/>
      <c r="T79" s="16"/>
      <c r="U79" s="19"/>
      <c r="V79" s="16"/>
      <c r="W79" s="19"/>
      <c r="X79" s="19"/>
      <c r="Y79" s="19"/>
      <c r="Z79" s="19"/>
      <c r="AA79" s="21">
        <f>SUM(Tabela2[[#This Row],[VALOR DO SERVIÇO CONTRATADO]]+Tabela2[[#This Row],[VALOR]]+Tabela2[[#This Row],[VALOR2]]+Tabela2[[#This Row],[AJUDA DE CUSTO]])+Tabela2[[#This Row],[VALOR3]]</f>
        <v>0</v>
      </c>
      <c r="AB79" s="22"/>
      <c r="AC79" s="23"/>
      <c r="AD79" s="22"/>
      <c r="AE79" s="16"/>
      <c r="AF79" s="16"/>
      <c r="AG79" s="25"/>
    </row>
    <row r="80" spans="1:33" hidden="1">
      <c r="A80" s="50"/>
      <c r="B80" s="12"/>
      <c r="C80" s="12"/>
      <c r="D80" s="12"/>
      <c r="E80" s="13"/>
      <c r="F80" s="16"/>
      <c r="G80" s="16"/>
      <c r="H80" s="16"/>
      <c r="I80" s="16"/>
      <c r="J80" s="16"/>
      <c r="K80" s="36"/>
      <c r="L80" s="16"/>
      <c r="M80" s="16"/>
      <c r="N80" s="16"/>
      <c r="O80" s="16"/>
      <c r="P80" s="16"/>
      <c r="Q80" s="16"/>
      <c r="R80" s="16"/>
      <c r="S80" s="19"/>
      <c r="T80" s="16"/>
      <c r="U80" s="19"/>
      <c r="V80" s="16"/>
      <c r="W80" s="19"/>
      <c r="X80" s="19"/>
      <c r="Y80" s="19"/>
      <c r="Z80" s="19"/>
      <c r="AA80" s="21">
        <f>SUM(Tabela2[[#This Row],[VALOR DO SERVIÇO CONTRATADO]]+Tabela2[[#This Row],[VALOR]]+Tabela2[[#This Row],[VALOR2]]+Tabela2[[#This Row],[AJUDA DE CUSTO]])+Tabela2[[#This Row],[VALOR3]]</f>
        <v>0</v>
      </c>
      <c r="AB80" s="22"/>
      <c r="AC80" s="23"/>
      <c r="AD80" s="22"/>
      <c r="AE80" s="16"/>
      <c r="AF80" s="16"/>
      <c r="AG80" s="25"/>
    </row>
    <row r="81" spans="1:33" hidden="1">
      <c r="A81" s="50"/>
      <c r="B81" s="12"/>
      <c r="C81" s="12"/>
      <c r="D81" s="12"/>
      <c r="E81" s="13"/>
      <c r="F81" s="16"/>
      <c r="G81" s="16"/>
      <c r="H81" s="16"/>
      <c r="I81" s="16"/>
      <c r="J81" s="16"/>
      <c r="K81" s="36"/>
      <c r="L81" s="16"/>
      <c r="M81" s="16"/>
      <c r="N81" s="16"/>
      <c r="O81" s="16"/>
      <c r="P81" s="16"/>
      <c r="Q81" s="16"/>
      <c r="R81" s="16"/>
      <c r="S81" s="19"/>
      <c r="T81" s="16"/>
      <c r="U81" s="19"/>
      <c r="V81" s="16"/>
      <c r="W81" s="19"/>
      <c r="X81" s="19"/>
      <c r="Y81" s="19"/>
      <c r="Z81" s="19"/>
      <c r="AA81" s="21">
        <f>SUM(Tabela2[[#This Row],[VALOR DO SERVIÇO CONTRATADO]]+Tabela2[[#This Row],[VALOR]]+Tabela2[[#This Row],[VALOR2]]+Tabela2[[#This Row],[AJUDA DE CUSTO]])+Tabela2[[#This Row],[VALOR3]]</f>
        <v>0</v>
      </c>
      <c r="AB81" s="22"/>
      <c r="AC81" s="23"/>
      <c r="AD81" s="22"/>
      <c r="AE81" s="16"/>
      <c r="AF81" s="16"/>
      <c r="AG81" s="25"/>
    </row>
    <row r="82" spans="1:33" hidden="1">
      <c r="A82" s="50"/>
      <c r="B82" s="12"/>
      <c r="C82" s="12"/>
      <c r="D82" s="12"/>
      <c r="E82" s="13"/>
      <c r="F82" s="16"/>
      <c r="G82" s="16"/>
      <c r="H82" s="16"/>
      <c r="I82" s="16"/>
      <c r="J82" s="16"/>
      <c r="K82" s="36"/>
      <c r="L82" s="16"/>
      <c r="M82" s="16"/>
      <c r="N82" s="16"/>
      <c r="O82" s="16"/>
      <c r="P82" s="16"/>
      <c r="Q82" s="16"/>
      <c r="R82" s="16"/>
      <c r="S82" s="19"/>
      <c r="T82" s="16"/>
      <c r="U82" s="19"/>
      <c r="V82" s="16"/>
      <c r="W82" s="19"/>
      <c r="X82" s="19"/>
      <c r="Y82" s="19"/>
      <c r="Z82" s="19"/>
      <c r="AA82" s="21">
        <f>SUM(Tabela2[[#This Row],[VALOR DO SERVIÇO CONTRATADO]]+Tabela2[[#This Row],[VALOR]]+Tabela2[[#This Row],[VALOR2]]+Tabela2[[#This Row],[AJUDA DE CUSTO]])+Tabela2[[#This Row],[VALOR3]]</f>
        <v>0</v>
      </c>
      <c r="AB82" s="22"/>
      <c r="AC82" s="23"/>
      <c r="AD82" s="22"/>
      <c r="AE82" s="16"/>
      <c r="AF82" s="16"/>
      <c r="AG82" s="25"/>
    </row>
    <row r="83" spans="1:33" hidden="1">
      <c r="A83" s="50"/>
      <c r="B83" s="12"/>
      <c r="C83" s="12"/>
      <c r="D83" s="12"/>
      <c r="E83" s="13"/>
      <c r="F83" s="16"/>
      <c r="G83" s="16"/>
      <c r="H83" s="16"/>
      <c r="I83" s="16"/>
      <c r="J83" s="16"/>
      <c r="K83" s="36"/>
      <c r="L83" s="16"/>
      <c r="M83" s="16"/>
      <c r="N83" s="16"/>
      <c r="O83" s="16"/>
      <c r="P83" s="16"/>
      <c r="Q83" s="16"/>
      <c r="R83" s="16"/>
      <c r="S83" s="19"/>
      <c r="T83" s="16"/>
      <c r="U83" s="19"/>
      <c r="V83" s="16"/>
      <c r="W83" s="19"/>
      <c r="X83" s="19"/>
      <c r="Y83" s="19"/>
      <c r="Z83" s="19"/>
      <c r="AA83" s="21">
        <f>SUM(Tabela2[[#This Row],[VALOR DO SERVIÇO CONTRATADO]]+Tabela2[[#This Row],[VALOR]]+Tabela2[[#This Row],[VALOR2]]+Tabela2[[#This Row],[AJUDA DE CUSTO]])+Tabela2[[#This Row],[VALOR3]]</f>
        <v>0</v>
      </c>
      <c r="AB83" s="22"/>
      <c r="AC83" s="23"/>
      <c r="AD83" s="22"/>
      <c r="AE83" s="16"/>
      <c r="AF83" s="16"/>
      <c r="AG83" s="25"/>
    </row>
    <row r="84" spans="1:33" hidden="1">
      <c r="A84" s="50"/>
      <c r="B84" s="12"/>
      <c r="C84" s="12"/>
      <c r="D84" s="12"/>
      <c r="E84" s="13"/>
      <c r="F84" s="16"/>
      <c r="G84" s="16"/>
      <c r="H84" s="16"/>
      <c r="I84" s="16"/>
      <c r="J84" s="16"/>
      <c r="K84" s="36"/>
      <c r="L84" s="16"/>
      <c r="M84" s="16"/>
      <c r="N84" s="16"/>
      <c r="O84" s="16"/>
      <c r="P84" s="16"/>
      <c r="Q84" s="16"/>
      <c r="R84" s="16"/>
      <c r="S84" s="19"/>
      <c r="T84" s="16"/>
      <c r="U84" s="19"/>
      <c r="V84" s="16"/>
      <c r="W84" s="19"/>
      <c r="X84" s="19"/>
      <c r="Y84" s="19"/>
      <c r="Z84" s="19"/>
      <c r="AA84" s="21">
        <f>SUM(Tabela2[[#This Row],[VALOR DO SERVIÇO CONTRATADO]]+Tabela2[[#This Row],[VALOR]]+Tabela2[[#This Row],[VALOR2]]+Tabela2[[#This Row],[AJUDA DE CUSTO]])+Tabela2[[#This Row],[VALOR3]]</f>
        <v>0</v>
      </c>
      <c r="AB84" s="22"/>
      <c r="AC84" s="23"/>
      <c r="AD84" s="22"/>
      <c r="AE84" s="16"/>
      <c r="AF84" s="16"/>
      <c r="AG84" s="25"/>
    </row>
    <row r="85" spans="1:33" hidden="1">
      <c r="A85" s="50"/>
      <c r="B85" s="12"/>
      <c r="C85" s="12"/>
      <c r="D85" s="12"/>
      <c r="E85" s="13"/>
      <c r="F85" s="16"/>
      <c r="G85" s="16"/>
      <c r="H85" s="16"/>
      <c r="I85" s="16"/>
      <c r="J85" s="16"/>
      <c r="K85" s="36"/>
      <c r="L85" s="16"/>
      <c r="M85" s="16"/>
      <c r="N85" s="16"/>
      <c r="O85" s="16"/>
      <c r="P85" s="16"/>
      <c r="Q85" s="16"/>
      <c r="R85" s="16"/>
      <c r="S85" s="19"/>
      <c r="T85" s="16"/>
      <c r="U85" s="19"/>
      <c r="V85" s="16"/>
      <c r="W85" s="19"/>
      <c r="X85" s="19"/>
      <c r="Y85" s="19"/>
      <c r="Z85" s="19"/>
      <c r="AA85" s="21">
        <f>SUM(Tabela2[[#This Row],[VALOR DO SERVIÇO CONTRATADO]]+Tabela2[[#This Row],[VALOR]]+Tabela2[[#This Row],[VALOR2]]+Tabela2[[#This Row],[AJUDA DE CUSTO]])+Tabela2[[#This Row],[VALOR3]]</f>
        <v>0</v>
      </c>
      <c r="AB85" s="22"/>
      <c r="AC85" s="23"/>
      <c r="AD85" s="22"/>
      <c r="AE85" s="16"/>
      <c r="AF85" s="16"/>
      <c r="AG85" s="25"/>
    </row>
    <row r="86" spans="1:33" hidden="1">
      <c r="A86" s="50"/>
      <c r="B86" s="12"/>
      <c r="C86" s="12"/>
      <c r="D86" s="12"/>
      <c r="E86" s="13"/>
      <c r="F86" s="16"/>
      <c r="G86" s="16"/>
      <c r="H86" s="16"/>
      <c r="I86" s="16"/>
      <c r="J86" s="16"/>
      <c r="K86" s="36"/>
      <c r="L86" s="16"/>
      <c r="M86" s="16"/>
      <c r="N86" s="16"/>
      <c r="O86" s="16"/>
      <c r="P86" s="16"/>
      <c r="Q86" s="16"/>
      <c r="R86" s="16"/>
      <c r="S86" s="19"/>
      <c r="T86" s="16"/>
      <c r="U86" s="19"/>
      <c r="V86" s="16"/>
      <c r="W86" s="19"/>
      <c r="X86" s="19"/>
      <c r="Y86" s="19"/>
      <c r="Z86" s="19"/>
      <c r="AA86" s="21">
        <f>SUM(Tabela2[[#This Row],[VALOR DO SERVIÇO CONTRATADO]]+Tabela2[[#This Row],[VALOR]]+Tabela2[[#This Row],[VALOR2]]+Tabela2[[#This Row],[AJUDA DE CUSTO]])+Tabela2[[#This Row],[VALOR3]]</f>
        <v>0</v>
      </c>
      <c r="AB86" s="22"/>
      <c r="AC86" s="23"/>
      <c r="AD86" s="22"/>
      <c r="AE86" s="16"/>
      <c r="AF86" s="16"/>
      <c r="AG86" s="25"/>
    </row>
    <row r="87" spans="1:33" hidden="1">
      <c r="A87" s="50"/>
      <c r="B87" s="12"/>
      <c r="C87" s="12"/>
      <c r="D87" s="12"/>
      <c r="E87" s="13"/>
      <c r="F87" s="16"/>
      <c r="G87" s="16"/>
      <c r="H87" s="16"/>
      <c r="I87" s="16"/>
      <c r="J87" s="16"/>
      <c r="K87" s="36"/>
      <c r="L87" s="16"/>
      <c r="M87" s="16"/>
      <c r="N87" s="16"/>
      <c r="O87" s="16"/>
      <c r="P87" s="16"/>
      <c r="Q87" s="16"/>
      <c r="R87" s="16"/>
      <c r="S87" s="19"/>
      <c r="T87" s="16"/>
      <c r="U87" s="19"/>
      <c r="V87" s="16"/>
      <c r="W87" s="19"/>
      <c r="X87" s="19"/>
      <c r="Y87" s="19"/>
      <c r="Z87" s="19"/>
      <c r="AA87" s="21">
        <f>SUM(Tabela2[[#This Row],[VALOR DO SERVIÇO CONTRATADO]]+Tabela2[[#This Row],[VALOR]]+Tabela2[[#This Row],[VALOR2]]+Tabela2[[#This Row],[AJUDA DE CUSTO]])+Tabela2[[#This Row],[VALOR3]]</f>
        <v>0</v>
      </c>
      <c r="AB87" s="22"/>
      <c r="AC87" s="23"/>
      <c r="AD87" s="22"/>
      <c r="AE87" s="16"/>
      <c r="AF87" s="16"/>
      <c r="AG87" s="25"/>
    </row>
    <row r="88" spans="1:33" hidden="1">
      <c r="A88" s="50"/>
      <c r="B88" s="12"/>
      <c r="C88" s="12"/>
      <c r="D88" s="12"/>
      <c r="E88" s="13"/>
      <c r="F88" s="16"/>
      <c r="G88" s="16"/>
      <c r="H88" s="16"/>
      <c r="I88" s="16"/>
      <c r="J88" s="16"/>
      <c r="K88" s="36"/>
      <c r="L88" s="16"/>
      <c r="M88" s="16"/>
      <c r="N88" s="16"/>
      <c r="O88" s="16"/>
      <c r="P88" s="16"/>
      <c r="Q88" s="16"/>
      <c r="R88" s="16"/>
      <c r="S88" s="19"/>
      <c r="T88" s="16"/>
      <c r="U88" s="19"/>
      <c r="V88" s="16"/>
      <c r="W88" s="19"/>
      <c r="X88" s="19"/>
      <c r="Y88" s="19"/>
      <c r="Z88" s="19"/>
      <c r="AA88" s="21">
        <f>SUM(Tabela2[[#This Row],[VALOR DO SERVIÇO CONTRATADO]]+Tabela2[[#This Row],[VALOR]]+Tabela2[[#This Row],[VALOR2]]+Tabela2[[#This Row],[AJUDA DE CUSTO]])+Tabela2[[#This Row],[VALOR3]]</f>
        <v>0</v>
      </c>
      <c r="AB88" s="22"/>
      <c r="AC88" s="23"/>
      <c r="AD88" s="22"/>
      <c r="AE88" s="16"/>
      <c r="AF88" s="16"/>
      <c r="AG88" s="25"/>
    </row>
    <row r="89" spans="1:33" hidden="1">
      <c r="A89" s="50"/>
      <c r="B89" s="12"/>
      <c r="C89" s="12"/>
      <c r="D89" s="12"/>
      <c r="E89" s="13"/>
      <c r="F89" s="16"/>
      <c r="G89" s="16"/>
      <c r="H89" s="16"/>
      <c r="I89" s="16"/>
      <c r="J89" s="16"/>
      <c r="K89" s="36"/>
      <c r="L89" s="16"/>
      <c r="M89" s="16"/>
      <c r="N89" s="16"/>
      <c r="O89" s="16"/>
      <c r="P89" s="16"/>
      <c r="Q89" s="16"/>
      <c r="R89" s="16"/>
      <c r="S89" s="19"/>
      <c r="T89" s="16"/>
      <c r="U89" s="19"/>
      <c r="V89" s="16"/>
      <c r="W89" s="19"/>
      <c r="X89" s="19"/>
      <c r="Y89" s="19"/>
      <c r="Z89" s="19"/>
      <c r="AA89" s="21">
        <f>SUM(Tabela2[[#This Row],[VALOR DO SERVIÇO CONTRATADO]]+Tabela2[[#This Row],[VALOR]]+Tabela2[[#This Row],[VALOR2]]+Tabela2[[#This Row],[AJUDA DE CUSTO]])+Tabela2[[#This Row],[VALOR3]]</f>
        <v>0</v>
      </c>
      <c r="AB89" s="22"/>
      <c r="AC89" s="23"/>
      <c r="AD89" s="22"/>
      <c r="AE89" s="16"/>
      <c r="AF89" s="16"/>
      <c r="AG89" s="25"/>
    </row>
    <row r="90" spans="1:33" hidden="1">
      <c r="A90" s="50"/>
      <c r="B90" s="12"/>
      <c r="C90" s="12"/>
      <c r="D90" s="12"/>
      <c r="E90" s="13"/>
      <c r="F90" s="16"/>
      <c r="G90" s="16"/>
      <c r="H90" s="16"/>
      <c r="I90" s="16"/>
      <c r="J90" s="16"/>
      <c r="K90" s="36"/>
      <c r="L90" s="16"/>
      <c r="M90" s="16"/>
      <c r="N90" s="16"/>
      <c r="O90" s="16"/>
      <c r="P90" s="16"/>
      <c r="Q90" s="16"/>
      <c r="R90" s="16"/>
      <c r="S90" s="19"/>
      <c r="T90" s="16"/>
      <c r="U90" s="19"/>
      <c r="V90" s="16"/>
      <c r="W90" s="19"/>
      <c r="X90" s="19"/>
      <c r="Y90" s="19"/>
      <c r="Z90" s="19"/>
      <c r="AA90" s="21">
        <f>SUM(Tabela2[[#This Row],[VALOR DO SERVIÇO CONTRATADO]]+Tabela2[[#This Row],[VALOR]]+Tabela2[[#This Row],[VALOR2]]+Tabela2[[#This Row],[AJUDA DE CUSTO]])+Tabela2[[#This Row],[VALOR3]]</f>
        <v>0</v>
      </c>
      <c r="AB90" s="22"/>
      <c r="AC90" s="23"/>
      <c r="AD90" s="22"/>
      <c r="AE90" s="16"/>
      <c r="AF90" s="16"/>
      <c r="AG90" s="25"/>
    </row>
    <row r="91" spans="1:33" hidden="1">
      <c r="A91" s="50"/>
      <c r="B91" s="12"/>
      <c r="C91" s="12"/>
      <c r="D91" s="12"/>
      <c r="E91" s="13"/>
      <c r="F91" s="16"/>
      <c r="G91" s="16"/>
      <c r="H91" s="16"/>
      <c r="I91" s="16"/>
      <c r="J91" s="16"/>
      <c r="K91" s="36"/>
      <c r="L91" s="16"/>
      <c r="M91" s="16"/>
      <c r="N91" s="16"/>
      <c r="O91" s="16"/>
      <c r="P91" s="16"/>
      <c r="Q91" s="16"/>
      <c r="R91" s="16"/>
      <c r="S91" s="19"/>
      <c r="T91" s="16"/>
      <c r="U91" s="19"/>
      <c r="V91" s="16"/>
      <c r="W91" s="19"/>
      <c r="X91" s="19"/>
      <c r="Y91" s="19"/>
      <c r="Z91" s="19"/>
      <c r="AA91" s="21">
        <f>SUM(Tabela2[[#This Row],[VALOR DO SERVIÇO CONTRATADO]]+Tabela2[[#This Row],[VALOR]]+Tabela2[[#This Row],[VALOR2]]+Tabela2[[#This Row],[AJUDA DE CUSTO]])+Tabela2[[#This Row],[VALOR3]]</f>
        <v>0</v>
      </c>
      <c r="AB91" s="22"/>
      <c r="AC91" s="23"/>
      <c r="AD91" s="22"/>
      <c r="AE91" s="16"/>
      <c r="AF91" s="16"/>
      <c r="AG91" s="25"/>
    </row>
    <row r="92" spans="1:33" hidden="1">
      <c r="A92" s="50"/>
      <c r="B92" s="12"/>
      <c r="C92" s="12"/>
      <c r="D92" s="12"/>
      <c r="E92" s="13"/>
      <c r="F92" s="16"/>
      <c r="G92" s="16"/>
      <c r="H92" s="16"/>
      <c r="I92" s="16"/>
      <c r="J92" s="16"/>
      <c r="K92" s="36"/>
      <c r="L92" s="16"/>
      <c r="M92" s="16"/>
      <c r="N92" s="16"/>
      <c r="O92" s="16"/>
      <c r="P92" s="16"/>
      <c r="Q92" s="16"/>
      <c r="R92" s="16"/>
      <c r="S92" s="19"/>
      <c r="T92" s="16"/>
      <c r="U92" s="19"/>
      <c r="V92" s="16"/>
      <c r="W92" s="19"/>
      <c r="X92" s="19"/>
      <c r="Y92" s="19"/>
      <c r="Z92" s="19"/>
      <c r="AA92" s="21">
        <f>SUM(Tabela2[[#This Row],[VALOR DO SERVIÇO CONTRATADO]]+Tabela2[[#This Row],[VALOR]]+Tabela2[[#This Row],[VALOR2]]+Tabela2[[#This Row],[AJUDA DE CUSTO]])+Tabela2[[#This Row],[VALOR3]]</f>
        <v>0</v>
      </c>
      <c r="AB92" s="22"/>
      <c r="AC92" s="23"/>
      <c r="AD92" s="22"/>
      <c r="AE92" s="16"/>
      <c r="AF92" s="16"/>
      <c r="AG92" s="25"/>
    </row>
    <row r="93" spans="1:33" hidden="1">
      <c r="A93" s="50"/>
      <c r="B93" s="12"/>
      <c r="C93" s="12"/>
      <c r="D93" s="12"/>
      <c r="E93" s="13"/>
      <c r="F93" s="16"/>
      <c r="G93" s="16"/>
      <c r="H93" s="16"/>
      <c r="I93" s="16"/>
      <c r="J93" s="16"/>
      <c r="K93" s="36"/>
      <c r="L93" s="16"/>
      <c r="M93" s="16"/>
      <c r="N93" s="16"/>
      <c r="O93" s="16"/>
      <c r="P93" s="16"/>
      <c r="Q93" s="16"/>
      <c r="R93" s="16"/>
      <c r="S93" s="19"/>
      <c r="T93" s="16"/>
      <c r="U93" s="19"/>
      <c r="V93" s="16"/>
      <c r="W93" s="19"/>
      <c r="X93" s="19"/>
      <c r="Y93" s="19"/>
      <c r="Z93" s="19"/>
      <c r="AA93" s="21">
        <f>SUM(Tabela2[[#This Row],[VALOR DO SERVIÇO CONTRATADO]]+Tabela2[[#This Row],[VALOR]]+Tabela2[[#This Row],[VALOR2]]+Tabela2[[#This Row],[AJUDA DE CUSTO]])+Tabela2[[#This Row],[VALOR3]]</f>
        <v>0</v>
      </c>
      <c r="AB93" s="22"/>
      <c r="AC93" s="23"/>
      <c r="AD93" s="22"/>
      <c r="AE93" s="16"/>
      <c r="AF93" s="16"/>
      <c r="AG93" s="25"/>
    </row>
    <row r="94" spans="1:33" hidden="1">
      <c r="A94" s="50"/>
      <c r="B94" s="12"/>
      <c r="C94" s="12"/>
      <c r="D94" s="12"/>
      <c r="E94" s="13"/>
      <c r="F94" s="16"/>
      <c r="G94" s="16"/>
      <c r="H94" s="16"/>
      <c r="I94" s="16"/>
      <c r="J94" s="16"/>
      <c r="K94" s="36"/>
      <c r="L94" s="16"/>
      <c r="M94" s="16"/>
      <c r="N94" s="16"/>
      <c r="O94" s="16"/>
      <c r="P94" s="16"/>
      <c r="Q94" s="16"/>
      <c r="R94" s="16"/>
      <c r="S94" s="51"/>
      <c r="T94" s="16"/>
      <c r="U94" s="19"/>
      <c r="V94" s="16"/>
      <c r="W94" s="19"/>
      <c r="X94" s="19"/>
      <c r="Y94" s="19"/>
      <c r="Z94" s="19"/>
      <c r="AA94" s="21">
        <f>SUM(Tabela2[[#This Row],[VALOR DO SERVIÇO CONTRATADO]]+Tabela2[[#This Row],[VALOR]]+Tabela2[[#This Row],[VALOR2]]+Tabela2[[#This Row],[AJUDA DE CUSTO]])+Tabela2[[#This Row],[VALOR3]]</f>
        <v>0</v>
      </c>
      <c r="AB94" s="22"/>
      <c r="AC94" s="23"/>
      <c r="AD94" s="22"/>
      <c r="AE94" s="16"/>
      <c r="AF94" s="16"/>
      <c r="AG94" s="25"/>
    </row>
    <row r="95" spans="1:33" hidden="1">
      <c r="A95" s="50"/>
      <c r="B95" s="12"/>
      <c r="C95" s="12"/>
      <c r="D95" s="12"/>
      <c r="E95" s="13"/>
      <c r="F95" s="16"/>
      <c r="G95" s="16"/>
      <c r="H95" s="16"/>
      <c r="I95" s="16"/>
      <c r="J95" s="16"/>
      <c r="K95" s="36"/>
      <c r="L95" s="16"/>
      <c r="M95" s="16"/>
      <c r="N95" s="16"/>
      <c r="O95" s="16"/>
      <c r="P95" s="16"/>
      <c r="Q95" s="16"/>
      <c r="R95" s="16"/>
      <c r="S95" s="51"/>
      <c r="T95" s="16"/>
      <c r="U95" s="19"/>
      <c r="V95" s="16"/>
      <c r="W95" s="19"/>
      <c r="X95" s="19"/>
      <c r="Y95" s="19"/>
      <c r="Z95" s="19"/>
      <c r="AA95" s="21">
        <f>SUM(Tabela2[[#This Row],[VALOR DO SERVIÇO CONTRATADO]]+Tabela2[[#This Row],[VALOR]]+Tabela2[[#This Row],[VALOR2]]+Tabela2[[#This Row],[AJUDA DE CUSTO]])+Tabela2[[#This Row],[VALOR3]]</f>
        <v>0</v>
      </c>
      <c r="AB95" s="22"/>
      <c r="AC95" s="23"/>
      <c r="AD95" s="22"/>
      <c r="AE95" s="16"/>
      <c r="AF95" s="16"/>
      <c r="AG95" s="25"/>
    </row>
    <row r="96" spans="1:33" hidden="1">
      <c r="A96" s="50"/>
      <c r="B96" s="12"/>
      <c r="C96" s="12"/>
      <c r="D96" s="12"/>
      <c r="E96" s="13"/>
      <c r="F96" s="16"/>
      <c r="G96" s="16"/>
      <c r="H96" s="16"/>
      <c r="I96" s="16"/>
      <c r="J96" s="16"/>
      <c r="K96" s="36"/>
      <c r="L96" s="16"/>
      <c r="M96" s="16"/>
      <c r="N96" s="16"/>
      <c r="O96" s="16"/>
      <c r="P96" s="16"/>
      <c r="Q96" s="16"/>
      <c r="R96" s="16"/>
      <c r="S96" s="51"/>
      <c r="T96" s="16"/>
      <c r="U96" s="19"/>
      <c r="V96" s="16"/>
      <c r="W96" s="19"/>
      <c r="X96" s="19"/>
      <c r="Y96" s="19"/>
      <c r="Z96" s="19"/>
      <c r="AA96" s="21">
        <f>SUM(Tabela2[[#This Row],[VALOR DO SERVIÇO CONTRATADO]]+Tabela2[[#This Row],[VALOR]]+Tabela2[[#This Row],[VALOR2]]+Tabela2[[#This Row],[AJUDA DE CUSTO]])+Tabela2[[#This Row],[VALOR3]]</f>
        <v>0</v>
      </c>
      <c r="AB96" s="22"/>
      <c r="AC96" s="23"/>
      <c r="AD96" s="22"/>
      <c r="AE96" s="16"/>
      <c r="AF96" s="16"/>
      <c r="AG96" s="25"/>
    </row>
    <row r="97" spans="1:33" hidden="1">
      <c r="A97" s="50"/>
      <c r="B97" s="12"/>
      <c r="C97" s="12"/>
      <c r="D97" s="12"/>
      <c r="E97" s="13"/>
      <c r="F97" s="16"/>
      <c r="G97" s="16"/>
      <c r="H97" s="16"/>
      <c r="I97" s="16"/>
      <c r="J97" s="16"/>
      <c r="K97" s="36"/>
      <c r="L97" s="16"/>
      <c r="M97" s="16"/>
      <c r="N97" s="16"/>
      <c r="O97" s="16"/>
      <c r="P97" s="16"/>
      <c r="Q97" s="16"/>
      <c r="R97" s="16"/>
      <c r="S97" s="51"/>
      <c r="T97" s="16"/>
      <c r="U97" s="19"/>
      <c r="V97" s="16"/>
      <c r="W97" s="19"/>
      <c r="X97" s="19"/>
      <c r="Y97" s="19"/>
      <c r="Z97" s="19"/>
      <c r="AA97" s="21">
        <f>SUM(Tabela2[[#This Row],[VALOR DO SERVIÇO CONTRATADO]]+Tabela2[[#This Row],[VALOR]]+Tabela2[[#This Row],[VALOR2]]+Tabela2[[#This Row],[AJUDA DE CUSTO]])+Tabela2[[#This Row],[VALOR3]]</f>
        <v>0</v>
      </c>
      <c r="AB97" s="22"/>
      <c r="AC97" s="23"/>
      <c r="AD97" s="22"/>
      <c r="AE97" s="16"/>
      <c r="AF97" s="16"/>
      <c r="AG97" s="25"/>
    </row>
    <row r="98" spans="1:33" hidden="1">
      <c r="A98" s="50"/>
      <c r="B98" s="12"/>
      <c r="C98" s="12"/>
      <c r="D98" s="12"/>
      <c r="E98" s="13"/>
      <c r="F98" s="16"/>
      <c r="G98" s="16"/>
      <c r="H98" s="16"/>
      <c r="I98" s="16"/>
      <c r="J98" s="16"/>
      <c r="K98" s="36"/>
      <c r="L98" s="16"/>
      <c r="M98" s="16"/>
      <c r="N98" s="16"/>
      <c r="O98" s="16"/>
      <c r="P98" s="16"/>
      <c r="Q98" s="16"/>
      <c r="R98" s="16"/>
      <c r="S98" s="51"/>
      <c r="T98" s="16"/>
      <c r="U98" s="19"/>
      <c r="V98" s="16"/>
      <c r="W98" s="19"/>
      <c r="X98" s="19"/>
      <c r="Y98" s="19"/>
      <c r="Z98" s="19"/>
      <c r="AA98" s="21">
        <f>SUM(Tabela2[[#This Row],[VALOR DO SERVIÇO CONTRATADO]]+Tabela2[[#This Row],[VALOR]]+Tabela2[[#This Row],[VALOR2]]+Tabela2[[#This Row],[AJUDA DE CUSTO]])+Tabela2[[#This Row],[VALOR3]]</f>
        <v>0</v>
      </c>
      <c r="AB98" s="22"/>
      <c r="AC98" s="23"/>
      <c r="AD98" s="22"/>
      <c r="AE98" s="16"/>
      <c r="AF98" s="16"/>
      <c r="AG98" s="25"/>
    </row>
    <row r="99" spans="1:33" hidden="1">
      <c r="A99" s="50"/>
      <c r="B99" s="12"/>
      <c r="C99" s="12"/>
      <c r="D99" s="12"/>
      <c r="E99" s="13"/>
      <c r="F99" s="16"/>
      <c r="G99" s="16"/>
      <c r="H99" s="16"/>
      <c r="I99" s="16"/>
      <c r="J99" s="16"/>
      <c r="K99" s="36"/>
      <c r="L99" s="16"/>
      <c r="M99" s="16"/>
      <c r="N99" s="16"/>
      <c r="O99" s="16"/>
      <c r="P99" s="16"/>
      <c r="Q99" s="16"/>
      <c r="R99" s="16"/>
      <c r="S99" s="51"/>
      <c r="T99" s="16"/>
      <c r="U99" s="19"/>
      <c r="V99" s="16"/>
      <c r="W99" s="19"/>
      <c r="X99" s="19"/>
      <c r="Y99" s="19"/>
      <c r="Z99" s="19"/>
      <c r="AA99" s="21">
        <f>SUM(Tabela2[[#This Row],[VALOR DO SERVIÇO CONTRATADO]]+Tabela2[[#This Row],[VALOR]]+Tabela2[[#This Row],[VALOR2]]+Tabela2[[#This Row],[AJUDA DE CUSTO]])+Tabela2[[#This Row],[VALOR3]]</f>
        <v>0</v>
      </c>
      <c r="AB99" s="22"/>
      <c r="AC99" s="23"/>
      <c r="AD99" s="22"/>
      <c r="AE99" s="16"/>
      <c r="AF99" s="16"/>
      <c r="AG99" s="25"/>
    </row>
    <row r="100" spans="1:33" hidden="1">
      <c r="A100" s="50"/>
      <c r="B100" s="12"/>
      <c r="C100" s="12"/>
      <c r="D100" s="12"/>
      <c r="E100" s="13"/>
      <c r="F100" s="16"/>
      <c r="G100" s="16"/>
      <c r="H100" s="16"/>
      <c r="I100" s="16"/>
      <c r="J100" s="16"/>
      <c r="K100" s="36"/>
      <c r="L100" s="16"/>
      <c r="M100" s="16"/>
      <c r="N100" s="16"/>
      <c r="O100" s="16"/>
      <c r="P100" s="16"/>
      <c r="Q100" s="16"/>
      <c r="R100" s="16"/>
      <c r="S100" s="51"/>
      <c r="T100" s="16"/>
      <c r="U100" s="19"/>
      <c r="V100" s="16"/>
      <c r="W100" s="19"/>
      <c r="X100" s="19"/>
      <c r="Y100" s="19"/>
      <c r="Z100" s="19"/>
      <c r="AA100" s="21">
        <f>SUM(Tabela2[[#This Row],[VALOR DO SERVIÇO CONTRATADO]]+Tabela2[[#This Row],[VALOR]]+Tabela2[[#This Row],[VALOR2]]+Tabela2[[#This Row],[AJUDA DE CUSTO]])+Tabela2[[#This Row],[VALOR3]]</f>
        <v>0</v>
      </c>
      <c r="AB100" s="22"/>
      <c r="AC100" s="23"/>
      <c r="AD100" s="22"/>
      <c r="AE100" s="16"/>
      <c r="AF100" s="16"/>
      <c r="AG100" s="25"/>
    </row>
    <row r="101" spans="1:33" hidden="1">
      <c r="A101" s="50"/>
      <c r="B101" s="12"/>
      <c r="C101" s="12"/>
      <c r="D101" s="12"/>
      <c r="E101" s="13"/>
      <c r="F101" s="16"/>
      <c r="G101" s="16"/>
      <c r="H101" s="16"/>
      <c r="I101" s="16"/>
      <c r="J101" s="16"/>
      <c r="K101" s="36"/>
      <c r="L101" s="16"/>
      <c r="M101" s="16"/>
      <c r="N101" s="16"/>
      <c r="O101" s="16"/>
      <c r="P101" s="16"/>
      <c r="Q101" s="16"/>
      <c r="R101" s="16"/>
      <c r="S101" s="51"/>
      <c r="T101" s="16"/>
      <c r="U101" s="19"/>
      <c r="V101" s="16"/>
      <c r="W101" s="19"/>
      <c r="X101" s="19"/>
      <c r="Y101" s="19"/>
      <c r="Z101" s="19"/>
      <c r="AA101" s="21">
        <f>SUM(Tabela2[[#This Row],[VALOR DO SERVIÇO CONTRATADO]]+Tabela2[[#This Row],[VALOR]]+Tabela2[[#This Row],[VALOR2]]+Tabela2[[#This Row],[AJUDA DE CUSTO]])+Tabela2[[#This Row],[VALOR3]]</f>
        <v>0</v>
      </c>
      <c r="AB101" s="22"/>
      <c r="AC101" s="23"/>
      <c r="AD101" s="22"/>
      <c r="AE101" s="16"/>
      <c r="AF101" s="16"/>
      <c r="AG101" s="25"/>
    </row>
    <row r="102" spans="1:33" hidden="1">
      <c r="A102" s="50"/>
      <c r="B102" s="12"/>
      <c r="C102" s="12"/>
      <c r="D102" s="12"/>
      <c r="E102" s="13"/>
      <c r="F102" s="16"/>
      <c r="G102" s="16"/>
      <c r="H102" s="16"/>
      <c r="I102" s="16"/>
      <c r="J102" s="16"/>
      <c r="K102" s="36"/>
      <c r="L102" s="16"/>
      <c r="M102" s="16"/>
      <c r="N102" s="16"/>
      <c r="O102" s="16"/>
      <c r="P102" s="16"/>
      <c r="Q102" s="16"/>
      <c r="R102" s="16"/>
      <c r="S102" s="51"/>
      <c r="T102" s="16"/>
      <c r="U102" s="19"/>
      <c r="V102" s="16"/>
      <c r="W102" s="19"/>
      <c r="X102" s="19"/>
      <c r="Y102" s="19"/>
      <c r="Z102" s="19"/>
      <c r="AA102" s="21">
        <f>SUM(Tabela2[[#This Row],[VALOR DO SERVIÇO CONTRATADO]]+Tabela2[[#This Row],[VALOR]]+Tabela2[[#This Row],[VALOR2]]+Tabela2[[#This Row],[AJUDA DE CUSTO]])+Tabela2[[#This Row],[VALOR3]]</f>
        <v>0</v>
      </c>
      <c r="AB102" s="22"/>
      <c r="AC102" s="23"/>
      <c r="AD102" s="22"/>
      <c r="AE102" s="16"/>
      <c r="AF102" s="16"/>
      <c r="AG102" s="25"/>
    </row>
    <row r="103" spans="1:33" hidden="1">
      <c r="A103" s="50"/>
      <c r="B103" s="12"/>
      <c r="C103" s="12"/>
      <c r="D103" s="12"/>
      <c r="E103" s="13"/>
      <c r="F103" s="16"/>
      <c r="G103" s="16"/>
      <c r="H103" s="16"/>
      <c r="I103" s="16"/>
      <c r="J103" s="16"/>
      <c r="K103" s="36"/>
      <c r="L103" s="16"/>
      <c r="M103" s="16"/>
      <c r="N103" s="16"/>
      <c r="O103" s="16"/>
      <c r="P103" s="16"/>
      <c r="Q103" s="16"/>
      <c r="R103" s="16"/>
      <c r="S103" s="51"/>
      <c r="T103" s="16"/>
      <c r="U103" s="19"/>
      <c r="V103" s="16"/>
      <c r="W103" s="19"/>
      <c r="X103" s="19"/>
      <c r="Y103" s="19"/>
      <c r="Z103" s="19"/>
      <c r="AA103" s="21">
        <f>SUM(Tabela2[[#This Row],[VALOR DO SERVIÇO CONTRATADO]]+Tabela2[[#This Row],[VALOR]]+Tabela2[[#This Row],[VALOR2]]+Tabela2[[#This Row],[AJUDA DE CUSTO]])+Tabela2[[#This Row],[VALOR3]]</f>
        <v>0</v>
      </c>
      <c r="AB103" s="22"/>
      <c r="AC103" s="23"/>
      <c r="AD103" s="22"/>
      <c r="AE103" s="16"/>
      <c r="AF103" s="16"/>
      <c r="AG103" s="25"/>
    </row>
    <row r="104" spans="1:33" hidden="1">
      <c r="A104" s="50"/>
      <c r="B104" s="12"/>
      <c r="C104" s="12"/>
      <c r="D104" s="12"/>
      <c r="E104" s="13"/>
      <c r="F104" s="16"/>
      <c r="G104" s="16"/>
      <c r="H104" s="16"/>
      <c r="I104" s="16"/>
      <c r="J104" s="16"/>
      <c r="K104" s="36"/>
      <c r="L104" s="16"/>
      <c r="M104" s="16"/>
      <c r="N104" s="16"/>
      <c r="O104" s="16"/>
      <c r="P104" s="16"/>
      <c r="Q104" s="16"/>
      <c r="R104" s="16"/>
      <c r="S104" s="51"/>
      <c r="T104" s="16"/>
      <c r="U104" s="19"/>
      <c r="V104" s="16"/>
      <c r="W104" s="19"/>
      <c r="X104" s="19"/>
      <c r="Y104" s="19"/>
      <c r="Z104" s="19"/>
      <c r="AA104" s="21">
        <f>SUM(Tabela2[[#This Row],[VALOR DO SERVIÇO CONTRATADO]]+Tabela2[[#This Row],[VALOR]]+Tabela2[[#This Row],[VALOR2]]+Tabela2[[#This Row],[AJUDA DE CUSTO]])+Tabela2[[#This Row],[VALOR3]]</f>
        <v>0</v>
      </c>
      <c r="AB104" s="22"/>
      <c r="AC104" s="23"/>
      <c r="AD104" s="22"/>
      <c r="AE104" s="16"/>
      <c r="AF104" s="16"/>
      <c r="AG104" s="25"/>
    </row>
    <row r="105" spans="1:33" hidden="1">
      <c r="A105" s="50"/>
      <c r="B105" s="12"/>
      <c r="C105" s="12"/>
      <c r="D105" s="12"/>
      <c r="E105" s="13"/>
      <c r="F105" s="16"/>
      <c r="G105" s="16"/>
      <c r="H105" s="16"/>
      <c r="I105" s="16"/>
      <c r="J105" s="16"/>
      <c r="K105" s="36"/>
      <c r="L105" s="16"/>
      <c r="M105" s="16"/>
      <c r="N105" s="16"/>
      <c r="O105" s="16"/>
      <c r="P105" s="16"/>
      <c r="Q105" s="16"/>
      <c r="R105" s="16"/>
      <c r="S105" s="51"/>
      <c r="T105" s="16"/>
      <c r="U105" s="19"/>
      <c r="V105" s="16"/>
      <c r="W105" s="19"/>
      <c r="X105" s="19"/>
      <c r="Y105" s="19"/>
      <c r="Z105" s="19"/>
      <c r="AA105" s="21">
        <f>SUM(Tabela2[[#This Row],[VALOR DO SERVIÇO CONTRATADO]]+Tabela2[[#This Row],[VALOR]]+Tabela2[[#This Row],[VALOR2]]+Tabela2[[#This Row],[AJUDA DE CUSTO]])+Tabela2[[#This Row],[VALOR3]]</f>
        <v>0</v>
      </c>
      <c r="AB105" s="22"/>
      <c r="AC105" s="23"/>
      <c r="AD105" s="22"/>
      <c r="AE105" s="16"/>
      <c r="AF105" s="16"/>
      <c r="AG105" s="25"/>
    </row>
    <row r="106" spans="1:33" hidden="1">
      <c r="A106" s="50"/>
      <c r="B106" s="12"/>
      <c r="C106" s="12"/>
      <c r="D106" s="12"/>
      <c r="E106" s="13"/>
      <c r="F106" s="16"/>
      <c r="G106" s="16"/>
      <c r="H106" s="16"/>
      <c r="I106" s="16"/>
      <c r="J106" s="16"/>
      <c r="K106" s="36"/>
      <c r="L106" s="16"/>
      <c r="M106" s="16"/>
      <c r="N106" s="16"/>
      <c r="O106" s="16"/>
      <c r="P106" s="16"/>
      <c r="Q106" s="16"/>
      <c r="R106" s="16"/>
      <c r="S106" s="51"/>
      <c r="T106" s="16"/>
      <c r="U106" s="19"/>
      <c r="V106" s="16"/>
      <c r="W106" s="19"/>
      <c r="X106" s="19"/>
      <c r="Y106" s="19"/>
      <c r="Z106" s="19"/>
      <c r="AA106" s="21">
        <f>SUM(Tabela2[[#This Row],[VALOR DO SERVIÇO CONTRATADO]]+Tabela2[[#This Row],[VALOR]]+Tabela2[[#This Row],[VALOR2]]+Tabela2[[#This Row],[AJUDA DE CUSTO]])+Tabela2[[#This Row],[VALOR3]]</f>
        <v>0</v>
      </c>
      <c r="AB106" s="22"/>
      <c r="AC106" s="23"/>
      <c r="AD106" s="22"/>
      <c r="AE106" s="16"/>
      <c r="AF106" s="16"/>
      <c r="AG106" s="25"/>
    </row>
    <row r="107" spans="1:33" hidden="1">
      <c r="A107" s="50"/>
      <c r="B107" s="12"/>
      <c r="C107" s="12"/>
      <c r="D107" s="12"/>
      <c r="E107" s="13"/>
      <c r="F107" s="16"/>
      <c r="G107" s="16"/>
      <c r="H107" s="16"/>
      <c r="I107" s="16"/>
      <c r="J107" s="16"/>
      <c r="K107" s="36"/>
      <c r="L107" s="16"/>
      <c r="M107" s="16"/>
      <c r="N107" s="16"/>
      <c r="O107" s="16"/>
      <c r="P107" s="16"/>
      <c r="Q107" s="16"/>
      <c r="R107" s="16"/>
      <c r="S107" s="51"/>
      <c r="T107" s="16"/>
      <c r="U107" s="19"/>
      <c r="V107" s="16"/>
      <c r="W107" s="19"/>
      <c r="X107" s="19"/>
      <c r="Y107" s="19"/>
      <c r="Z107" s="19"/>
      <c r="AA107" s="21">
        <f>SUM(Tabela2[[#This Row],[VALOR DO SERVIÇO CONTRATADO]]+Tabela2[[#This Row],[VALOR]]+Tabela2[[#This Row],[VALOR2]]+Tabela2[[#This Row],[AJUDA DE CUSTO]])+Tabela2[[#This Row],[VALOR3]]</f>
        <v>0</v>
      </c>
      <c r="AB107" s="22"/>
      <c r="AC107" s="23"/>
      <c r="AD107" s="22"/>
      <c r="AE107" s="16"/>
      <c r="AF107" s="16"/>
      <c r="AG107" s="25"/>
    </row>
    <row r="108" spans="1:33" hidden="1">
      <c r="A108" s="50"/>
      <c r="B108" s="12"/>
      <c r="C108" s="12"/>
      <c r="D108" s="12"/>
      <c r="E108" s="13"/>
      <c r="F108" s="16"/>
      <c r="G108" s="16"/>
      <c r="H108" s="16"/>
      <c r="I108" s="16"/>
      <c r="J108" s="16"/>
      <c r="K108" s="36"/>
      <c r="L108" s="16"/>
      <c r="M108" s="16"/>
      <c r="N108" s="16"/>
      <c r="O108" s="16"/>
      <c r="P108" s="16"/>
      <c r="Q108" s="16"/>
      <c r="R108" s="16"/>
      <c r="S108" s="51"/>
      <c r="T108" s="16"/>
      <c r="U108" s="19"/>
      <c r="V108" s="16"/>
      <c r="W108" s="19"/>
      <c r="X108" s="19"/>
      <c r="Y108" s="19"/>
      <c r="Z108" s="19"/>
      <c r="AA108" s="21">
        <f>SUM(Tabela2[[#This Row],[VALOR DO SERVIÇO CONTRATADO]]+Tabela2[[#This Row],[VALOR]]+Tabela2[[#This Row],[VALOR2]]+Tabela2[[#This Row],[AJUDA DE CUSTO]])+Tabela2[[#This Row],[VALOR3]]</f>
        <v>0</v>
      </c>
      <c r="AB108" s="22"/>
      <c r="AC108" s="23"/>
      <c r="AD108" s="22"/>
      <c r="AE108" s="16"/>
      <c r="AF108" s="16"/>
      <c r="AG108" s="25"/>
    </row>
    <row r="109" spans="1:33" hidden="1">
      <c r="A109" s="50"/>
      <c r="B109" s="12"/>
      <c r="C109" s="12"/>
      <c r="D109" s="12"/>
      <c r="E109" s="13"/>
      <c r="F109" s="16"/>
      <c r="G109" s="16"/>
      <c r="H109" s="16"/>
      <c r="I109" s="16"/>
      <c r="J109" s="16"/>
      <c r="K109" s="36"/>
      <c r="L109" s="16"/>
      <c r="M109" s="16"/>
      <c r="N109" s="16"/>
      <c r="O109" s="16"/>
      <c r="P109" s="16"/>
      <c r="Q109" s="16"/>
      <c r="R109" s="16"/>
      <c r="S109" s="51"/>
      <c r="T109" s="16"/>
      <c r="U109" s="19"/>
      <c r="V109" s="16"/>
      <c r="W109" s="19"/>
      <c r="X109" s="19"/>
      <c r="Y109" s="19"/>
      <c r="Z109" s="19"/>
      <c r="AA109" s="21">
        <f>SUM(Tabela2[[#This Row],[VALOR DO SERVIÇO CONTRATADO]]+Tabela2[[#This Row],[VALOR]]+Tabela2[[#This Row],[VALOR2]]+Tabela2[[#This Row],[AJUDA DE CUSTO]])+Tabela2[[#This Row],[VALOR3]]</f>
        <v>0</v>
      </c>
      <c r="AB109" s="22"/>
      <c r="AC109" s="23"/>
      <c r="AD109" s="22"/>
      <c r="AE109" s="16"/>
      <c r="AF109" s="16"/>
      <c r="AG109" s="25"/>
    </row>
    <row r="110" spans="1:33" hidden="1">
      <c r="A110" s="50"/>
      <c r="B110" s="12"/>
      <c r="C110" s="12"/>
      <c r="D110" s="12"/>
      <c r="E110" s="13"/>
      <c r="F110" s="16"/>
      <c r="G110" s="16"/>
      <c r="H110" s="16"/>
      <c r="I110" s="16"/>
      <c r="J110" s="16"/>
      <c r="K110" s="36"/>
      <c r="L110" s="16"/>
      <c r="M110" s="16"/>
      <c r="N110" s="16"/>
      <c r="O110" s="16"/>
      <c r="P110" s="16"/>
      <c r="Q110" s="16"/>
      <c r="R110" s="16"/>
      <c r="S110" s="51"/>
      <c r="T110" s="16"/>
      <c r="U110" s="19"/>
      <c r="V110" s="16"/>
      <c r="W110" s="19"/>
      <c r="X110" s="19"/>
      <c r="Y110" s="19"/>
      <c r="Z110" s="19"/>
      <c r="AA110" s="21">
        <f>SUM(Tabela2[[#This Row],[VALOR DO SERVIÇO CONTRATADO]]+Tabela2[[#This Row],[VALOR]]+Tabela2[[#This Row],[VALOR2]]+Tabela2[[#This Row],[AJUDA DE CUSTO]])+Tabela2[[#This Row],[VALOR3]]</f>
        <v>0</v>
      </c>
      <c r="AB110" s="22"/>
      <c r="AC110" s="23"/>
      <c r="AD110" s="22"/>
      <c r="AE110" s="16"/>
      <c r="AF110" s="16"/>
      <c r="AG110" s="25"/>
    </row>
    <row r="111" spans="1:33" hidden="1">
      <c r="A111" s="50"/>
      <c r="B111" s="12"/>
      <c r="C111" s="12"/>
      <c r="D111" s="12"/>
      <c r="E111" s="13"/>
      <c r="F111" s="16"/>
      <c r="G111" s="16"/>
      <c r="H111" s="16"/>
      <c r="I111" s="16"/>
      <c r="J111" s="16"/>
      <c r="K111" s="36"/>
      <c r="L111" s="16"/>
      <c r="M111" s="16"/>
      <c r="N111" s="16"/>
      <c r="O111" s="16"/>
      <c r="P111" s="16"/>
      <c r="Q111" s="16"/>
      <c r="R111" s="16"/>
      <c r="S111" s="51"/>
      <c r="T111" s="16"/>
      <c r="U111" s="19"/>
      <c r="V111" s="16"/>
      <c r="W111" s="19"/>
      <c r="X111" s="19"/>
      <c r="Y111" s="19"/>
      <c r="Z111" s="19"/>
      <c r="AA111" s="21">
        <f>SUM(Tabela2[[#This Row],[VALOR DO SERVIÇO CONTRATADO]]+Tabela2[[#This Row],[VALOR]]+Tabela2[[#This Row],[VALOR2]]+Tabela2[[#This Row],[AJUDA DE CUSTO]])+Tabela2[[#This Row],[VALOR3]]</f>
        <v>0</v>
      </c>
      <c r="AB111" s="22"/>
      <c r="AC111" s="23"/>
      <c r="AD111" s="22"/>
      <c r="AE111" s="16"/>
      <c r="AF111" s="16"/>
      <c r="AG111" s="25"/>
    </row>
    <row r="112" spans="1:33" hidden="1">
      <c r="A112" s="50"/>
      <c r="B112" s="12"/>
      <c r="C112" s="12"/>
      <c r="D112" s="12"/>
      <c r="E112" s="13"/>
      <c r="F112" s="16"/>
      <c r="G112" s="16"/>
      <c r="H112" s="16"/>
      <c r="I112" s="16"/>
      <c r="J112" s="16"/>
      <c r="K112" s="36"/>
      <c r="L112" s="16"/>
      <c r="M112" s="16"/>
      <c r="N112" s="16"/>
      <c r="O112" s="16"/>
      <c r="P112" s="16"/>
      <c r="Q112" s="16"/>
      <c r="R112" s="16"/>
      <c r="S112" s="51"/>
      <c r="T112" s="16"/>
      <c r="U112" s="19"/>
      <c r="V112" s="16"/>
      <c r="W112" s="19"/>
      <c r="X112" s="19"/>
      <c r="Y112" s="19"/>
      <c r="Z112" s="19"/>
      <c r="AA112" s="21">
        <f>SUM(Tabela2[[#This Row],[VALOR DO SERVIÇO CONTRATADO]]+Tabela2[[#This Row],[VALOR]]+Tabela2[[#This Row],[VALOR2]]+Tabela2[[#This Row],[AJUDA DE CUSTO]])+Tabela2[[#This Row],[VALOR3]]</f>
        <v>0</v>
      </c>
      <c r="AB112" s="22"/>
      <c r="AC112" s="23"/>
      <c r="AD112" s="22"/>
      <c r="AE112" s="16"/>
      <c r="AF112" s="16"/>
      <c r="AG112" s="25"/>
    </row>
    <row r="113" spans="1:33" hidden="1">
      <c r="A113" s="50"/>
      <c r="B113" s="12"/>
      <c r="C113" s="12"/>
      <c r="D113" s="12"/>
      <c r="E113" s="13"/>
      <c r="F113" s="16"/>
      <c r="G113" s="16"/>
      <c r="H113" s="16"/>
      <c r="I113" s="16"/>
      <c r="J113" s="16"/>
      <c r="K113" s="36"/>
      <c r="L113" s="16"/>
      <c r="M113" s="16"/>
      <c r="N113" s="16"/>
      <c r="O113" s="16"/>
      <c r="P113" s="16"/>
      <c r="Q113" s="16"/>
      <c r="R113" s="16"/>
      <c r="S113" s="51"/>
      <c r="T113" s="16"/>
      <c r="U113" s="19"/>
      <c r="V113" s="16"/>
      <c r="W113" s="19"/>
      <c r="X113" s="19"/>
      <c r="Y113" s="19"/>
      <c r="Z113" s="19"/>
      <c r="AA113" s="21">
        <f>SUM(Tabela2[[#This Row],[VALOR DO SERVIÇO CONTRATADO]]+Tabela2[[#This Row],[VALOR]]+Tabela2[[#This Row],[VALOR2]]+Tabela2[[#This Row],[AJUDA DE CUSTO]])+Tabela2[[#This Row],[VALOR3]]</f>
        <v>0</v>
      </c>
      <c r="AB113" s="22"/>
      <c r="AC113" s="23"/>
      <c r="AD113" s="22"/>
      <c r="AE113" s="16"/>
      <c r="AF113" s="16"/>
      <c r="AG113" s="25"/>
    </row>
    <row r="114" spans="1:33" hidden="1">
      <c r="A114" s="50"/>
      <c r="B114" s="12"/>
      <c r="C114" s="12"/>
      <c r="D114" s="12"/>
      <c r="E114" s="13"/>
      <c r="F114" s="16"/>
      <c r="G114" s="16"/>
      <c r="H114" s="16"/>
      <c r="I114" s="16"/>
      <c r="J114" s="16"/>
      <c r="K114" s="36"/>
      <c r="L114" s="16"/>
      <c r="M114" s="16"/>
      <c r="N114" s="16"/>
      <c r="O114" s="16"/>
      <c r="P114" s="16"/>
      <c r="Q114" s="16"/>
      <c r="R114" s="16"/>
      <c r="S114" s="51"/>
      <c r="T114" s="16"/>
      <c r="U114" s="19"/>
      <c r="V114" s="16"/>
      <c r="W114" s="19"/>
      <c r="X114" s="19"/>
      <c r="Y114" s="19"/>
      <c r="Z114" s="19"/>
      <c r="AA114" s="21">
        <f>SUM(Tabela2[[#This Row],[VALOR DO SERVIÇO CONTRATADO]]+Tabela2[[#This Row],[VALOR]]+Tabela2[[#This Row],[VALOR2]]+Tabela2[[#This Row],[AJUDA DE CUSTO]])+Tabela2[[#This Row],[VALOR3]]</f>
        <v>0</v>
      </c>
      <c r="AB114" s="22"/>
      <c r="AC114" s="23"/>
      <c r="AD114" s="22"/>
      <c r="AE114" s="16"/>
      <c r="AF114" s="16"/>
      <c r="AG114" s="25"/>
    </row>
    <row r="115" spans="1:33" hidden="1">
      <c r="A115" s="50"/>
      <c r="B115" s="12"/>
      <c r="C115" s="12"/>
      <c r="D115" s="12"/>
      <c r="E115" s="13"/>
      <c r="F115" s="16"/>
      <c r="G115" s="16"/>
      <c r="H115" s="16"/>
      <c r="I115" s="16"/>
      <c r="J115" s="16"/>
      <c r="K115" s="36"/>
      <c r="L115" s="16"/>
      <c r="M115" s="16"/>
      <c r="N115" s="16"/>
      <c r="O115" s="16"/>
      <c r="P115" s="16"/>
      <c r="Q115" s="16"/>
      <c r="R115" s="16"/>
      <c r="S115" s="51"/>
      <c r="T115" s="16"/>
      <c r="U115" s="19"/>
      <c r="V115" s="16"/>
      <c r="W115" s="19"/>
      <c r="X115" s="19"/>
      <c r="Y115" s="19"/>
      <c r="Z115" s="19"/>
      <c r="AA115" s="21">
        <f>SUM(Tabela2[[#This Row],[VALOR DO SERVIÇO CONTRATADO]]+Tabela2[[#This Row],[VALOR]]+Tabela2[[#This Row],[VALOR2]]+Tabela2[[#This Row],[AJUDA DE CUSTO]])+Tabela2[[#This Row],[VALOR3]]</f>
        <v>0</v>
      </c>
      <c r="AB115" s="22"/>
      <c r="AC115" s="23"/>
      <c r="AD115" s="22"/>
      <c r="AE115" s="16"/>
      <c r="AF115" s="16"/>
      <c r="AG115" s="25"/>
    </row>
    <row r="116" spans="1:33" hidden="1">
      <c r="A116" s="50"/>
      <c r="B116" s="12"/>
      <c r="C116" s="12"/>
      <c r="D116" s="12"/>
      <c r="E116" s="13"/>
      <c r="F116" s="16"/>
      <c r="G116" s="16"/>
      <c r="H116" s="16"/>
      <c r="I116" s="16"/>
      <c r="J116" s="16"/>
      <c r="K116" s="36"/>
      <c r="L116" s="16"/>
      <c r="M116" s="16"/>
      <c r="N116" s="16"/>
      <c r="O116" s="16"/>
      <c r="P116" s="16"/>
      <c r="Q116" s="16"/>
      <c r="R116" s="16"/>
      <c r="S116" s="51"/>
      <c r="T116" s="16"/>
      <c r="U116" s="19"/>
      <c r="V116" s="16"/>
      <c r="W116" s="19"/>
      <c r="X116" s="19"/>
      <c r="Y116" s="19"/>
      <c r="Z116" s="19"/>
      <c r="AA116" s="21">
        <f>SUM(Tabela2[[#This Row],[VALOR DO SERVIÇO CONTRATADO]]+Tabela2[[#This Row],[VALOR]]+Tabela2[[#This Row],[VALOR2]]+Tabela2[[#This Row],[AJUDA DE CUSTO]])+Tabela2[[#This Row],[VALOR3]]</f>
        <v>0</v>
      </c>
      <c r="AB116" s="22"/>
      <c r="AC116" s="23"/>
      <c r="AD116" s="22"/>
      <c r="AE116" s="16"/>
      <c r="AF116" s="16"/>
      <c r="AG116" s="25"/>
    </row>
    <row r="117" spans="1:33" hidden="1">
      <c r="A117" s="50"/>
      <c r="B117" s="12"/>
      <c r="C117" s="12"/>
      <c r="D117" s="12"/>
      <c r="E117" s="13"/>
      <c r="F117" s="16"/>
      <c r="G117" s="16"/>
      <c r="H117" s="16"/>
      <c r="I117" s="16"/>
      <c r="J117" s="16"/>
      <c r="K117" s="36"/>
      <c r="L117" s="16"/>
      <c r="M117" s="16"/>
      <c r="N117" s="16"/>
      <c r="O117" s="16"/>
      <c r="P117" s="16"/>
      <c r="Q117" s="16"/>
      <c r="R117" s="16"/>
      <c r="S117" s="51"/>
      <c r="T117" s="16"/>
      <c r="U117" s="19"/>
      <c r="V117" s="16"/>
      <c r="W117" s="19"/>
      <c r="X117" s="19"/>
      <c r="Y117" s="19"/>
      <c r="Z117" s="19"/>
      <c r="AA117" s="21">
        <f>SUM(Tabela2[[#This Row],[VALOR DO SERVIÇO CONTRATADO]]+Tabela2[[#This Row],[VALOR]]+Tabela2[[#This Row],[VALOR2]]+Tabela2[[#This Row],[AJUDA DE CUSTO]])+Tabela2[[#This Row],[VALOR3]]</f>
        <v>0</v>
      </c>
      <c r="AB117" s="22"/>
      <c r="AC117" s="23"/>
      <c r="AD117" s="22"/>
      <c r="AE117" s="16"/>
      <c r="AF117" s="16"/>
      <c r="AG117" s="25"/>
    </row>
    <row r="118" spans="1:33" hidden="1">
      <c r="A118" s="50"/>
      <c r="B118" s="12"/>
      <c r="C118" s="12"/>
      <c r="D118" s="12"/>
      <c r="E118" s="13"/>
      <c r="F118" s="16"/>
      <c r="G118" s="16"/>
      <c r="H118" s="16"/>
      <c r="I118" s="16"/>
      <c r="J118" s="16"/>
      <c r="K118" s="36"/>
      <c r="L118" s="16"/>
      <c r="M118" s="16"/>
      <c r="N118" s="16"/>
      <c r="O118" s="16"/>
      <c r="P118" s="16"/>
      <c r="Q118" s="16"/>
      <c r="R118" s="16"/>
      <c r="S118" s="51"/>
      <c r="T118" s="16"/>
      <c r="U118" s="19"/>
      <c r="V118" s="16"/>
      <c r="W118" s="19"/>
      <c r="X118" s="19"/>
      <c r="Y118" s="19"/>
      <c r="Z118" s="19"/>
      <c r="AA118" s="21">
        <f>SUM(Tabela2[[#This Row],[VALOR DO SERVIÇO CONTRATADO]]+Tabela2[[#This Row],[VALOR]]+Tabela2[[#This Row],[VALOR2]]+Tabela2[[#This Row],[AJUDA DE CUSTO]])+Tabela2[[#This Row],[VALOR3]]</f>
        <v>0</v>
      </c>
      <c r="AB118" s="22"/>
      <c r="AC118" s="23"/>
      <c r="AD118" s="22"/>
      <c r="AE118" s="16"/>
      <c r="AF118" s="16"/>
      <c r="AG118" s="25"/>
    </row>
    <row r="119" spans="1:33" hidden="1">
      <c r="A119" s="50"/>
      <c r="B119" s="12"/>
      <c r="C119" s="12"/>
      <c r="D119" s="12"/>
      <c r="E119" s="13"/>
      <c r="F119" s="16"/>
      <c r="G119" s="16"/>
      <c r="H119" s="16"/>
      <c r="I119" s="16"/>
      <c r="J119" s="16"/>
      <c r="K119" s="36"/>
      <c r="L119" s="16"/>
      <c r="M119" s="16"/>
      <c r="N119" s="16"/>
      <c r="O119" s="16"/>
      <c r="P119" s="16"/>
      <c r="Q119" s="16"/>
      <c r="R119" s="16"/>
      <c r="S119" s="51"/>
      <c r="T119" s="16"/>
      <c r="U119" s="19"/>
      <c r="V119" s="16"/>
      <c r="W119" s="19"/>
      <c r="X119" s="19"/>
      <c r="Y119" s="19"/>
      <c r="Z119" s="19"/>
      <c r="AA119" s="21">
        <f>SUM(Tabela2[[#This Row],[VALOR DO SERVIÇO CONTRATADO]]+Tabela2[[#This Row],[VALOR]]+Tabela2[[#This Row],[VALOR2]]+Tabela2[[#This Row],[AJUDA DE CUSTO]])+Tabela2[[#This Row],[VALOR3]]</f>
        <v>0</v>
      </c>
      <c r="AB119" s="22"/>
      <c r="AC119" s="23"/>
      <c r="AD119" s="22"/>
      <c r="AE119" s="16"/>
      <c r="AF119" s="16"/>
      <c r="AG119" s="25"/>
    </row>
    <row r="120" spans="1:33" hidden="1">
      <c r="A120" s="50"/>
      <c r="B120" s="12"/>
      <c r="C120" s="12"/>
      <c r="D120" s="12"/>
      <c r="E120" s="13"/>
      <c r="F120" s="16"/>
      <c r="G120" s="16"/>
      <c r="H120" s="16"/>
      <c r="I120" s="16"/>
      <c r="J120" s="16"/>
      <c r="K120" s="36"/>
      <c r="L120" s="16"/>
      <c r="M120" s="16"/>
      <c r="N120" s="16"/>
      <c r="O120" s="16"/>
      <c r="P120" s="16"/>
      <c r="Q120" s="16"/>
      <c r="R120" s="16"/>
      <c r="S120" s="51"/>
      <c r="T120" s="16"/>
      <c r="U120" s="19"/>
      <c r="V120" s="16"/>
      <c r="W120" s="19"/>
      <c r="X120" s="19"/>
      <c r="Y120" s="19"/>
      <c r="Z120" s="19"/>
      <c r="AA120" s="21">
        <f>SUM(Tabela2[[#This Row],[VALOR DO SERVIÇO CONTRATADO]]+Tabela2[[#This Row],[VALOR]]+Tabela2[[#This Row],[VALOR2]]+Tabela2[[#This Row],[AJUDA DE CUSTO]])+Tabela2[[#This Row],[VALOR3]]</f>
        <v>0</v>
      </c>
      <c r="AB120" s="22"/>
      <c r="AC120" s="23"/>
      <c r="AD120" s="22"/>
      <c r="AE120" s="16"/>
      <c r="AF120" s="16"/>
      <c r="AG120" s="25"/>
    </row>
    <row r="121" spans="1:33" hidden="1">
      <c r="A121" s="50"/>
      <c r="B121" s="12"/>
      <c r="C121" s="12"/>
      <c r="D121" s="12"/>
      <c r="E121" s="13"/>
      <c r="F121" s="16"/>
      <c r="G121" s="16"/>
      <c r="H121" s="16"/>
      <c r="I121" s="16"/>
      <c r="J121" s="16"/>
      <c r="K121" s="36"/>
      <c r="L121" s="16"/>
      <c r="M121" s="16"/>
      <c r="N121" s="16"/>
      <c r="O121" s="16"/>
      <c r="P121" s="16"/>
      <c r="Q121" s="16"/>
      <c r="R121" s="16"/>
      <c r="S121" s="51"/>
      <c r="T121" s="16"/>
      <c r="U121" s="19"/>
      <c r="V121" s="16"/>
      <c r="W121" s="19"/>
      <c r="X121" s="19"/>
      <c r="Y121" s="19"/>
      <c r="Z121" s="19"/>
      <c r="AA121" s="21">
        <f>SUM(Tabela2[[#This Row],[VALOR DO SERVIÇO CONTRATADO]]+Tabela2[[#This Row],[VALOR]]+Tabela2[[#This Row],[VALOR2]]+Tabela2[[#This Row],[AJUDA DE CUSTO]])+Tabela2[[#This Row],[VALOR3]]</f>
        <v>0</v>
      </c>
      <c r="AB121" s="22"/>
      <c r="AC121" s="23"/>
      <c r="AD121" s="22"/>
      <c r="AE121" s="16"/>
      <c r="AF121" s="16"/>
      <c r="AG121" s="25"/>
    </row>
    <row r="122" spans="1:33" hidden="1">
      <c r="A122" s="50"/>
      <c r="B122" s="12"/>
      <c r="C122" s="12"/>
      <c r="D122" s="12"/>
      <c r="E122" s="13"/>
      <c r="F122" s="16"/>
      <c r="G122" s="16"/>
      <c r="H122" s="16"/>
      <c r="I122" s="16"/>
      <c r="J122" s="16"/>
      <c r="K122" s="36"/>
      <c r="L122" s="16"/>
      <c r="M122" s="16"/>
      <c r="N122" s="16"/>
      <c r="O122" s="16"/>
      <c r="P122" s="16"/>
      <c r="Q122" s="16"/>
      <c r="R122" s="16"/>
      <c r="S122" s="51"/>
      <c r="T122" s="16"/>
      <c r="U122" s="19"/>
      <c r="V122" s="16"/>
      <c r="W122" s="19"/>
      <c r="X122" s="19"/>
      <c r="Y122" s="19"/>
      <c r="Z122" s="19"/>
      <c r="AA122" s="21">
        <f>SUM(Tabela2[[#This Row],[VALOR DO SERVIÇO CONTRATADO]]+Tabela2[[#This Row],[VALOR]]+Tabela2[[#This Row],[VALOR2]]+Tabela2[[#This Row],[AJUDA DE CUSTO]])+Tabela2[[#This Row],[VALOR3]]</f>
        <v>0</v>
      </c>
      <c r="AB122" s="22"/>
      <c r="AC122" s="23"/>
      <c r="AD122" s="22"/>
      <c r="AE122" s="16"/>
      <c r="AF122" s="16"/>
      <c r="AG122" s="25"/>
    </row>
    <row r="123" spans="1:33" hidden="1">
      <c r="A123" s="50"/>
      <c r="B123" s="12"/>
      <c r="C123" s="12"/>
      <c r="D123" s="12"/>
      <c r="E123" s="13"/>
      <c r="F123" s="16"/>
      <c r="G123" s="16"/>
      <c r="H123" s="16"/>
      <c r="I123" s="16"/>
      <c r="J123" s="16"/>
      <c r="K123" s="36"/>
      <c r="L123" s="16"/>
      <c r="M123" s="16"/>
      <c r="N123" s="16"/>
      <c r="O123" s="16"/>
      <c r="P123" s="16"/>
      <c r="Q123" s="16"/>
      <c r="R123" s="16"/>
      <c r="S123" s="51"/>
      <c r="T123" s="16"/>
      <c r="U123" s="19"/>
      <c r="V123" s="16"/>
      <c r="W123" s="19"/>
      <c r="X123" s="19"/>
      <c r="Y123" s="19"/>
      <c r="Z123" s="19"/>
      <c r="AA123" s="21">
        <f>SUM(Tabela2[[#This Row],[VALOR DO SERVIÇO CONTRATADO]]+Tabela2[[#This Row],[VALOR]]+Tabela2[[#This Row],[VALOR2]]+Tabela2[[#This Row],[AJUDA DE CUSTO]])+Tabela2[[#This Row],[VALOR3]]</f>
        <v>0</v>
      </c>
      <c r="AB123" s="22"/>
      <c r="AC123" s="23"/>
      <c r="AD123" s="22"/>
      <c r="AE123" s="16"/>
      <c r="AF123" s="16"/>
      <c r="AG123" s="25"/>
    </row>
    <row r="124" spans="1:33" hidden="1">
      <c r="A124" s="50"/>
      <c r="B124" s="12"/>
      <c r="C124" s="12"/>
      <c r="D124" s="12"/>
      <c r="E124" s="13"/>
      <c r="F124" s="16"/>
      <c r="G124" s="16"/>
      <c r="H124" s="16"/>
      <c r="I124" s="16"/>
      <c r="J124" s="16"/>
      <c r="K124" s="36"/>
      <c r="L124" s="16"/>
      <c r="M124" s="16"/>
      <c r="N124" s="16"/>
      <c r="O124" s="16"/>
      <c r="P124" s="16"/>
      <c r="Q124" s="16"/>
      <c r="R124" s="16"/>
      <c r="S124" s="51"/>
      <c r="T124" s="16"/>
      <c r="U124" s="19"/>
      <c r="V124" s="16"/>
      <c r="W124" s="19"/>
      <c r="X124" s="19"/>
      <c r="Y124" s="19"/>
      <c r="Z124" s="19"/>
      <c r="AA124" s="21">
        <f>SUM(Tabela2[[#This Row],[VALOR DO SERVIÇO CONTRATADO]]+Tabela2[[#This Row],[VALOR]]+Tabela2[[#This Row],[VALOR2]]+Tabela2[[#This Row],[AJUDA DE CUSTO]])+Tabela2[[#This Row],[VALOR3]]</f>
        <v>0</v>
      </c>
      <c r="AB124" s="22"/>
      <c r="AC124" s="23"/>
      <c r="AD124" s="22"/>
      <c r="AE124" s="16"/>
      <c r="AF124" s="16"/>
      <c r="AG124" s="25"/>
    </row>
    <row r="125" spans="1:33" hidden="1">
      <c r="A125" s="50"/>
      <c r="B125" s="12"/>
      <c r="C125" s="12"/>
      <c r="D125" s="12"/>
      <c r="E125" s="13"/>
      <c r="F125" s="16"/>
      <c r="G125" s="16"/>
      <c r="H125" s="16"/>
      <c r="I125" s="16"/>
      <c r="J125" s="16"/>
      <c r="K125" s="36"/>
      <c r="L125" s="16"/>
      <c r="M125" s="16"/>
      <c r="N125" s="16"/>
      <c r="O125" s="16"/>
      <c r="P125" s="16"/>
      <c r="Q125" s="16"/>
      <c r="R125" s="16"/>
      <c r="S125" s="51"/>
      <c r="T125" s="16"/>
      <c r="U125" s="19"/>
      <c r="V125" s="16"/>
      <c r="W125" s="19"/>
      <c r="X125" s="19"/>
      <c r="Y125" s="19"/>
      <c r="Z125" s="19"/>
      <c r="AA125" s="21">
        <f>SUM(Tabela2[[#This Row],[VALOR DO SERVIÇO CONTRATADO]]+Tabela2[[#This Row],[VALOR]]+Tabela2[[#This Row],[VALOR2]]+Tabela2[[#This Row],[AJUDA DE CUSTO]])+Tabela2[[#This Row],[VALOR3]]</f>
        <v>0</v>
      </c>
      <c r="AB125" s="22"/>
      <c r="AC125" s="23"/>
      <c r="AD125" s="22"/>
      <c r="AE125" s="16"/>
      <c r="AF125" s="16"/>
      <c r="AG125" s="25"/>
    </row>
    <row r="126" spans="1:33" hidden="1">
      <c r="A126" s="50"/>
      <c r="B126" s="12"/>
      <c r="C126" s="12"/>
      <c r="D126" s="12"/>
      <c r="E126" s="13"/>
      <c r="F126" s="16"/>
      <c r="G126" s="16"/>
      <c r="H126" s="16"/>
      <c r="I126" s="16"/>
      <c r="J126" s="16"/>
      <c r="K126" s="36"/>
      <c r="L126" s="16"/>
      <c r="M126" s="16"/>
      <c r="N126" s="16"/>
      <c r="O126" s="16"/>
      <c r="P126" s="16"/>
      <c r="Q126" s="16"/>
      <c r="R126" s="16"/>
      <c r="S126" s="51"/>
      <c r="T126" s="16"/>
      <c r="U126" s="19"/>
      <c r="V126" s="16"/>
      <c r="W126" s="19"/>
      <c r="X126" s="19"/>
      <c r="Y126" s="19"/>
      <c r="Z126" s="19"/>
      <c r="AA126" s="21">
        <f>SUM(Tabela2[[#This Row],[VALOR DO SERVIÇO CONTRATADO]]+Tabela2[[#This Row],[VALOR]]+Tabela2[[#This Row],[VALOR2]]+Tabela2[[#This Row],[AJUDA DE CUSTO]])+Tabela2[[#This Row],[VALOR3]]</f>
        <v>0</v>
      </c>
      <c r="AB126" s="22"/>
      <c r="AC126" s="23"/>
      <c r="AD126" s="22"/>
      <c r="AE126" s="16"/>
      <c r="AF126" s="16"/>
      <c r="AG126" s="25"/>
    </row>
    <row r="127" spans="1:33" hidden="1">
      <c r="A127" s="50"/>
      <c r="B127" s="12"/>
      <c r="C127" s="12"/>
      <c r="D127" s="12"/>
      <c r="E127" s="13"/>
      <c r="F127" s="16"/>
      <c r="G127" s="16"/>
      <c r="H127" s="16"/>
      <c r="I127" s="16"/>
      <c r="J127" s="16"/>
      <c r="K127" s="36"/>
      <c r="L127" s="16"/>
      <c r="M127" s="16"/>
      <c r="N127" s="16"/>
      <c r="O127" s="16"/>
      <c r="P127" s="16"/>
      <c r="Q127" s="16"/>
      <c r="R127" s="16"/>
      <c r="S127" s="51"/>
      <c r="T127" s="16"/>
      <c r="U127" s="19"/>
      <c r="V127" s="16"/>
      <c r="W127" s="19"/>
      <c r="X127" s="19"/>
      <c r="Y127" s="19"/>
      <c r="Z127" s="19"/>
      <c r="AA127" s="21">
        <f>SUM(Tabela2[[#This Row],[VALOR DO SERVIÇO CONTRATADO]]+Tabela2[[#This Row],[VALOR]]+Tabela2[[#This Row],[VALOR2]]+Tabela2[[#This Row],[AJUDA DE CUSTO]])+Tabela2[[#This Row],[VALOR3]]</f>
        <v>0</v>
      </c>
      <c r="AB127" s="22"/>
      <c r="AC127" s="23"/>
      <c r="AD127" s="22"/>
      <c r="AE127" s="16"/>
      <c r="AF127" s="16"/>
      <c r="AG127" s="25"/>
    </row>
    <row r="128" spans="1:33" hidden="1">
      <c r="A128" s="50"/>
      <c r="B128" s="12"/>
      <c r="C128" s="12"/>
      <c r="D128" s="12"/>
      <c r="E128" s="13"/>
      <c r="F128" s="16"/>
      <c r="G128" s="16"/>
      <c r="H128" s="16"/>
      <c r="I128" s="16"/>
      <c r="J128" s="16"/>
      <c r="K128" s="36"/>
      <c r="L128" s="16"/>
      <c r="M128" s="16"/>
      <c r="N128" s="16"/>
      <c r="O128" s="16"/>
      <c r="P128" s="16"/>
      <c r="Q128" s="16"/>
      <c r="R128" s="16"/>
      <c r="S128" s="51"/>
      <c r="T128" s="16"/>
      <c r="U128" s="19"/>
      <c r="V128" s="16"/>
      <c r="W128" s="19"/>
      <c r="X128" s="19"/>
      <c r="Y128" s="19"/>
      <c r="Z128" s="19"/>
      <c r="AA128" s="21">
        <f>SUM(Tabela2[[#This Row],[VALOR DO SERVIÇO CONTRATADO]]+Tabela2[[#This Row],[VALOR]]+Tabela2[[#This Row],[VALOR2]]+Tabela2[[#This Row],[AJUDA DE CUSTO]])+Tabela2[[#This Row],[VALOR3]]</f>
        <v>0</v>
      </c>
      <c r="AB128" s="22"/>
      <c r="AC128" s="23"/>
      <c r="AD128" s="22"/>
      <c r="AE128" s="16"/>
      <c r="AF128" s="16"/>
      <c r="AG128" s="25"/>
    </row>
    <row r="129" spans="1:33" hidden="1">
      <c r="A129" s="50"/>
      <c r="B129" s="12"/>
      <c r="C129" s="12"/>
      <c r="D129" s="12"/>
      <c r="E129" s="13"/>
      <c r="F129" s="16"/>
      <c r="G129" s="16"/>
      <c r="H129" s="16"/>
      <c r="I129" s="16"/>
      <c r="J129" s="16"/>
      <c r="K129" s="36"/>
      <c r="L129" s="16"/>
      <c r="M129" s="16"/>
      <c r="N129" s="16"/>
      <c r="O129" s="16"/>
      <c r="P129" s="16"/>
      <c r="Q129" s="16"/>
      <c r="R129" s="16"/>
      <c r="S129" s="51"/>
      <c r="T129" s="16"/>
      <c r="U129" s="19"/>
      <c r="V129" s="16"/>
      <c r="W129" s="19"/>
      <c r="X129" s="19"/>
      <c r="Y129" s="19"/>
      <c r="Z129" s="19"/>
      <c r="AA129" s="21">
        <f>SUM(Tabela2[[#This Row],[VALOR DO SERVIÇO CONTRATADO]]+Tabela2[[#This Row],[VALOR]]+Tabela2[[#This Row],[VALOR2]]+Tabela2[[#This Row],[AJUDA DE CUSTO]])+Tabela2[[#This Row],[VALOR3]]</f>
        <v>0</v>
      </c>
      <c r="AB129" s="22"/>
      <c r="AC129" s="23"/>
      <c r="AD129" s="22"/>
      <c r="AE129" s="16"/>
      <c r="AF129" s="16"/>
      <c r="AG129" s="25"/>
    </row>
    <row r="130" spans="1:33" hidden="1">
      <c r="A130" s="50"/>
      <c r="B130" s="12"/>
      <c r="C130" s="12"/>
      <c r="D130" s="12"/>
      <c r="E130" s="13"/>
      <c r="F130" s="16"/>
      <c r="G130" s="16"/>
      <c r="H130" s="16"/>
      <c r="I130" s="16"/>
      <c r="J130" s="16"/>
      <c r="K130" s="36"/>
      <c r="L130" s="16"/>
      <c r="M130" s="16"/>
      <c r="N130" s="16"/>
      <c r="O130" s="16"/>
      <c r="P130" s="16"/>
      <c r="Q130" s="16"/>
      <c r="R130" s="16"/>
      <c r="S130" s="51"/>
      <c r="T130" s="16"/>
      <c r="U130" s="19"/>
      <c r="V130" s="16"/>
      <c r="W130" s="19"/>
      <c r="X130" s="19"/>
      <c r="Y130" s="19"/>
      <c r="Z130" s="19"/>
      <c r="AA130" s="21">
        <f>SUM(Tabela2[[#This Row],[VALOR DO SERVIÇO CONTRATADO]]+Tabela2[[#This Row],[VALOR]]+Tabela2[[#This Row],[VALOR2]]+Tabela2[[#This Row],[AJUDA DE CUSTO]])+Tabela2[[#This Row],[VALOR3]]</f>
        <v>0</v>
      </c>
      <c r="AB130" s="22"/>
      <c r="AC130" s="23"/>
      <c r="AD130" s="22"/>
      <c r="AE130" s="16"/>
      <c r="AF130" s="16"/>
      <c r="AG130" s="25"/>
    </row>
    <row r="131" spans="1:33" hidden="1">
      <c r="A131" s="50"/>
      <c r="B131" s="12"/>
      <c r="C131" s="12"/>
      <c r="D131" s="12"/>
      <c r="E131" s="13"/>
      <c r="F131" s="16"/>
      <c r="G131" s="16"/>
      <c r="H131" s="16"/>
      <c r="I131" s="16"/>
      <c r="J131" s="16"/>
      <c r="K131" s="36"/>
      <c r="L131" s="16"/>
      <c r="M131" s="16"/>
      <c r="N131" s="16"/>
      <c r="O131" s="16"/>
      <c r="P131" s="16"/>
      <c r="Q131" s="16"/>
      <c r="R131" s="16"/>
      <c r="S131" s="51"/>
      <c r="T131" s="16"/>
      <c r="U131" s="19"/>
      <c r="V131" s="16"/>
      <c r="W131" s="19"/>
      <c r="X131" s="19"/>
      <c r="Y131" s="19"/>
      <c r="Z131" s="19"/>
      <c r="AA131" s="21">
        <f>SUM(Tabela2[[#This Row],[VALOR DO SERVIÇO CONTRATADO]]+Tabela2[[#This Row],[VALOR]]+Tabela2[[#This Row],[VALOR2]]+Tabela2[[#This Row],[AJUDA DE CUSTO]])+Tabela2[[#This Row],[VALOR3]]</f>
        <v>0</v>
      </c>
      <c r="AB131" s="22"/>
      <c r="AC131" s="23"/>
      <c r="AD131" s="22"/>
      <c r="AE131" s="16"/>
      <c r="AF131" s="16"/>
      <c r="AG131" s="25"/>
    </row>
    <row r="132" spans="1:33" hidden="1">
      <c r="A132" s="50"/>
      <c r="B132" s="12"/>
      <c r="C132" s="12"/>
      <c r="D132" s="12"/>
      <c r="E132" s="13"/>
      <c r="F132" s="16"/>
      <c r="G132" s="16"/>
      <c r="H132" s="16"/>
      <c r="I132" s="16"/>
      <c r="J132" s="16"/>
      <c r="K132" s="36"/>
      <c r="L132" s="16"/>
      <c r="M132" s="16"/>
      <c r="N132" s="16"/>
      <c r="O132" s="16"/>
      <c r="P132" s="16"/>
      <c r="Q132" s="16"/>
      <c r="R132" s="16"/>
      <c r="S132" s="51"/>
      <c r="T132" s="16"/>
      <c r="U132" s="19"/>
      <c r="V132" s="16"/>
      <c r="W132" s="19"/>
      <c r="X132" s="19"/>
      <c r="Y132" s="19"/>
      <c r="Z132" s="19"/>
      <c r="AA132" s="21">
        <f>SUM(Tabela2[[#This Row],[VALOR DO SERVIÇO CONTRATADO]]+Tabela2[[#This Row],[VALOR]]+Tabela2[[#This Row],[VALOR2]]+Tabela2[[#This Row],[AJUDA DE CUSTO]])+Tabela2[[#This Row],[VALOR3]]</f>
        <v>0</v>
      </c>
      <c r="AB132" s="22"/>
      <c r="AC132" s="23"/>
      <c r="AD132" s="22"/>
      <c r="AE132" s="16"/>
      <c r="AF132" s="16"/>
      <c r="AG132" s="25"/>
    </row>
    <row r="133" spans="1:33" hidden="1">
      <c r="A133" s="50"/>
      <c r="B133" s="12"/>
      <c r="C133" s="12"/>
      <c r="D133" s="12"/>
      <c r="E133" s="13"/>
      <c r="F133" s="16"/>
      <c r="G133" s="16"/>
      <c r="H133" s="16"/>
      <c r="I133" s="16"/>
      <c r="J133" s="16"/>
      <c r="K133" s="36"/>
      <c r="L133" s="16"/>
      <c r="M133" s="16"/>
      <c r="N133" s="16"/>
      <c r="O133" s="16"/>
      <c r="P133" s="16"/>
      <c r="Q133" s="16"/>
      <c r="R133" s="16"/>
      <c r="S133" s="51"/>
      <c r="T133" s="16"/>
      <c r="U133" s="19"/>
      <c r="V133" s="16"/>
      <c r="W133" s="19"/>
      <c r="X133" s="19"/>
      <c r="Y133" s="19"/>
      <c r="Z133" s="19"/>
      <c r="AA133" s="21">
        <f>SUM(Tabela2[[#This Row],[VALOR DO SERVIÇO CONTRATADO]]+Tabela2[[#This Row],[VALOR]]+Tabela2[[#This Row],[VALOR2]]+Tabela2[[#This Row],[AJUDA DE CUSTO]])+Tabela2[[#This Row],[VALOR3]]</f>
        <v>0</v>
      </c>
      <c r="AB133" s="22"/>
      <c r="AC133" s="23"/>
      <c r="AD133" s="22"/>
      <c r="AE133" s="16"/>
      <c r="AF133" s="16"/>
      <c r="AG133" s="25"/>
    </row>
    <row r="134" spans="1:33" hidden="1">
      <c r="A134" s="50"/>
      <c r="B134" s="12"/>
      <c r="C134" s="12"/>
      <c r="D134" s="12"/>
      <c r="E134" s="13"/>
      <c r="F134" s="16"/>
      <c r="G134" s="16"/>
      <c r="H134" s="16"/>
      <c r="I134" s="16"/>
      <c r="J134" s="16"/>
      <c r="K134" s="36"/>
      <c r="L134" s="16"/>
      <c r="M134" s="16"/>
      <c r="N134" s="16"/>
      <c r="O134" s="16"/>
      <c r="P134" s="16"/>
      <c r="Q134" s="16"/>
      <c r="R134" s="16"/>
      <c r="S134" s="51"/>
      <c r="T134" s="16"/>
      <c r="U134" s="19"/>
      <c r="V134" s="16"/>
      <c r="W134" s="19"/>
      <c r="X134" s="19"/>
      <c r="Y134" s="19"/>
      <c r="Z134" s="19"/>
      <c r="AA134" s="21">
        <f>SUM(Tabela2[[#This Row],[VALOR DO SERVIÇO CONTRATADO]]+Tabela2[[#This Row],[VALOR]]+Tabela2[[#This Row],[VALOR2]]+Tabela2[[#This Row],[AJUDA DE CUSTO]])+Tabela2[[#This Row],[VALOR3]]</f>
        <v>0</v>
      </c>
      <c r="AB134" s="22"/>
      <c r="AC134" s="23"/>
      <c r="AD134" s="22"/>
      <c r="AE134" s="16"/>
      <c r="AF134" s="16"/>
      <c r="AG134" s="25"/>
    </row>
    <row r="135" spans="1:33" hidden="1">
      <c r="A135" s="50"/>
      <c r="B135" s="12"/>
      <c r="C135" s="12"/>
      <c r="D135" s="12"/>
      <c r="E135" s="13"/>
      <c r="F135" s="16"/>
      <c r="G135" s="16"/>
      <c r="H135" s="16"/>
      <c r="I135" s="16"/>
      <c r="J135" s="16"/>
      <c r="K135" s="36"/>
      <c r="L135" s="16"/>
      <c r="M135" s="16"/>
      <c r="N135" s="16"/>
      <c r="O135" s="16"/>
      <c r="P135" s="16"/>
      <c r="Q135" s="16"/>
      <c r="R135" s="16"/>
      <c r="S135" s="51"/>
      <c r="T135" s="16"/>
      <c r="U135" s="19"/>
      <c r="V135" s="16"/>
      <c r="W135" s="19"/>
      <c r="X135" s="19"/>
      <c r="Y135" s="19"/>
      <c r="Z135" s="19"/>
      <c r="AA135" s="21">
        <f>SUM(Tabela2[[#This Row],[VALOR DO SERVIÇO CONTRATADO]]+Tabela2[[#This Row],[VALOR]]+Tabela2[[#This Row],[VALOR2]]+Tabela2[[#This Row],[AJUDA DE CUSTO]])+Tabela2[[#This Row],[VALOR3]]</f>
        <v>0</v>
      </c>
      <c r="AB135" s="22"/>
      <c r="AC135" s="23"/>
      <c r="AD135" s="22"/>
      <c r="AE135" s="16"/>
      <c r="AF135" s="16"/>
      <c r="AG135" s="25"/>
    </row>
    <row r="136" spans="1:33" hidden="1">
      <c r="A136" s="50"/>
      <c r="B136" s="12"/>
      <c r="C136" s="12"/>
      <c r="D136" s="12"/>
      <c r="E136" s="13"/>
      <c r="F136" s="16"/>
      <c r="G136" s="16"/>
      <c r="H136" s="16"/>
      <c r="I136" s="16"/>
      <c r="J136" s="16"/>
      <c r="K136" s="36"/>
      <c r="L136" s="16"/>
      <c r="M136" s="16"/>
      <c r="N136" s="16"/>
      <c r="O136" s="16"/>
      <c r="P136" s="16"/>
      <c r="Q136" s="16"/>
      <c r="R136" s="16"/>
      <c r="S136" s="51"/>
      <c r="T136" s="16"/>
      <c r="U136" s="19"/>
      <c r="V136" s="16"/>
      <c r="W136" s="19"/>
      <c r="X136" s="19"/>
      <c r="Y136" s="19"/>
      <c r="Z136" s="19"/>
      <c r="AA136" s="21">
        <f>SUM(Tabela2[[#This Row],[VALOR DO SERVIÇO CONTRATADO]]+Tabela2[[#This Row],[VALOR]]+Tabela2[[#This Row],[VALOR2]]+Tabela2[[#This Row],[AJUDA DE CUSTO]])+Tabela2[[#This Row],[VALOR3]]</f>
        <v>0</v>
      </c>
      <c r="AB136" s="22"/>
      <c r="AC136" s="23"/>
      <c r="AD136" s="22"/>
      <c r="AE136" s="16"/>
      <c r="AF136" s="16"/>
      <c r="AG136" s="25"/>
    </row>
    <row r="137" spans="1:33" hidden="1">
      <c r="A137" s="50"/>
      <c r="B137" s="12"/>
      <c r="C137" s="12"/>
      <c r="D137" s="12"/>
      <c r="E137" s="13"/>
      <c r="F137" s="16"/>
      <c r="G137" s="16"/>
      <c r="H137" s="16"/>
      <c r="I137" s="16"/>
      <c r="J137" s="16"/>
      <c r="K137" s="36"/>
      <c r="L137" s="16"/>
      <c r="M137" s="16"/>
      <c r="N137" s="16"/>
      <c r="O137" s="16"/>
      <c r="P137" s="16"/>
      <c r="Q137" s="16"/>
      <c r="R137" s="16"/>
      <c r="S137" s="51"/>
      <c r="T137" s="16"/>
      <c r="U137" s="19"/>
      <c r="V137" s="16"/>
      <c r="W137" s="19"/>
      <c r="X137" s="19"/>
      <c r="Y137" s="19"/>
      <c r="Z137" s="19"/>
      <c r="AA137" s="21">
        <f>SUM(Tabela2[[#This Row],[VALOR DO SERVIÇO CONTRATADO]]+Tabela2[[#This Row],[VALOR]]+Tabela2[[#This Row],[VALOR2]]+Tabela2[[#This Row],[AJUDA DE CUSTO]])+Tabela2[[#This Row],[VALOR3]]</f>
        <v>0</v>
      </c>
      <c r="AB137" s="22"/>
      <c r="AC137" s="23"/>
      <c r="AD137" s="22"/>
      <c r="AE137" s="16"/>
      <c r="AF137" s="16"/>
      <c r="AG137" s="25"/>
    </row>
    <row r="138" spans="1:33" hidden="1">
      <c r="A138" s="50"/>
      <c r="B138" s="12"/>
      <c r="C138" s="12"/>
      <c r="D138" s="12"/>
      <c r="E138" s="13"/>
      <c r="F138" s="16"/>
      <c r="G138" s="16"/>
      <c r="H138" s="16"/>
      <c r="I138" s="16"/>
      <c r="J138" s="16"/>
      <c r="K138" s="36"/>
      <c r="L138" s="16"/>
      <c r="M138" s="16"/>
      <c r="N138" s="16"/>
      <c r="O138" s="16"/>
      <c r="P138" s="16"/>
      <c r="Q138" s="16"/>
      <c r="R138" s="16"/>
      <c r="S138" s="51"/>
      <c r="T138" s="16"/>
      <c r="U138" s="19"/>
      <c r="V138" s="16"/>
      <c r="W138" s="19"/>
      <c r="X138" s="19"/>
      <c r="Y138" s="19"/>
      <c r="Z138" s="19"/>
      <c r="AA138" s="21">
        <f>SUM(Tabela2[[#This Row],[VALOR DO SERVIÇO CONTRATADO]]+Tabela2[[#This Row],[VALOR]]+Tabela2[[#This Row],[VALOR2]]+Tabela2[[#This Row],[AJUDA DE CUSTO]])+Tabela2[[#This Row],[VALOR3]]</f>
        <v>0</v>
      </c>
      <c r="AB138" s="22"/>
      <c r="AC138" s="23"/>
      <c r="AD138" s="22"/>
      <c r="AE138" s="16"/>
      <c r="AF138" s="16"/>
      <c r="AG138" s="25"/>
    </row>
    <row r="139" spans="1:33" hidden="1">
      <c r="A139" s="50"/>
      <c r="B139" s="12"/>
      <c r="C139" s="12"/>
      <c r="D139" s="12"/>
      <c r="E139" s="13"/>
      <c r="F139" s="16"/>
      <c r="G139" s="16"/>
      <c r="H139" s="16"/>
      <c r="I139" s="16"/>
      <c r="J139" s="16"/>
      <c r="K139" s="36"/>
      <c r="L139" s="16"/>
      <c r="M139" s="16"/>
      <c r="N139" s="16"/>
      <c r="O139" s="16"/>
      <c r="P139" s="16"/>
      <c r="Q139" s="16"/>
      <c r="R139" s="16"/>
      <c r="S139" s="51"/>
      <c r="T139" s="16"/>
      <c r="U139" s="19"/>
      <c r="V139" s="16"/>
      <c r="W139" s="19"/>
      <c r="X139" s="19"/>
      <c r="Y139" s="19"/>
      <c r="Z139" s="19"/>
      <c r="AA139" s="21">
        <f>SUM(Tabela2[[#This Row],[VALOR DO SERVIÇO CONTRATADO]]+Tabela2[[#This Row],[VALOR]]+Tabela2[[#This Row],[VALOR2]]+Tabela2[[#This Row],[AJUDA DE CUSTO]])+Tabela2[[#This Row],[VALOR3]]</f>
        <v>0</v>
      </c>
      <c r="AB139" s="22"/>
      <c r="AC139" s="23"/>
      <c r="AD139" s="22"/>
      <c r="AE139" s="16"/>
      <c r="AF139" s="16"/>
      <c r="AG139" s="25"/>
    </row>
    <row r="140" spans="1:33" hidden="1">
      <c r="A140" s="50"/>
      <c r="B140" s="12"/>
      <c r="C140" s="12"/>
      <c r="D140" s="12"/>
      <c r="E140" s="13"/>
      <c r="F140" s="16"/>
      <c r="G140" s="16"/>
      <c r="H140" s="16"/>
      <c r="I140" s="16"/>
      <c r="J140" s="16"/>
      <c r="K140" s="36"/>
      <c r="L140" s="16"/>
      <c r="M140" s="16"/>
      <c r="N140" s="16"/>
      <c r="O140" s="16"/>
      <c r="P140" s="16"/>
      <c r="Q140" s="16"/>
      <c r="R140" s="16"/>
      <c r="S140" s="51"/>
      <c r="T140" s="16"/>
      <c r="U140" s="19"/>
      <c r="V140" s="16"/>
      <c r="W140" s="19"/>
      <c r="X140" s="19"/>
      <c r="Y140" s="19"/>
      <c r="Z140" s="19"/>
      <c r="AA140" s="21">
        <f>SUM(Tabela2[[#This Row],[VALOR DO SERVIÇO CONTRATADO]]+Tabela2[[#This Row],[VALOR]]+Tabela2[[#This Row],[VALOR2]]+Tabela2[[#This Row],[AJUDA DE CUSTO]])+Tabela2[[#This Row],[VALOR3]]</f>
        <v>0</v>
      </c>
      <c r="AB140" s="22"/>
      <c r="AC140" s="23"/>
      <c r="AD140" s="22"/>
      <c r="AE140" s="16"/>
      <c r="AF140" s="16"/>
      <c r="AG140" s="25"/>
    </row>
    <row r="141" spans="1:33" hidden="1">
      <c r="A141" s="50"/>
      <c r="B141" s="12"/>
      <c r="C141" s="12"/>
      <c r="D141" s="12"/>
      <c r="E141" s="13"/>
      <c r="F141" s="16"/>
      <c r="G141" s="16"/>
      <c r="H141" s="16"/>
      <c r="I141" s="16"/>
      <c r="J141" s="16"/>
      <c r="K141" s="36"/>
      <c r="L141" s="16"/>
      <c r="M141" s="16"/>
      <c r="N141" s="16"/>
      <c r="O141" s="16"/>
      <c r="P141" s="16"/>
      <c r="Q141" s="16"/>
      <c r="R141" s="16"/>
      <c r="S141" s="51"/>
      <c r="T141" s="16"/>
      <c r="U141" s="19"/>
      <c r="V141" s="16"/>
      <c r="W141" s="19"/>
      <c r="X141" s="19"/>
      <c r="Y141" s="19"/>
      <c r="Z141" s="19"/>
      <c r="AA141" s="21">
        <f>SUM(Tabela2[[#This Row],[VALOR DO SERVIÇO CONTRATADO]]+Tabela2[[#This Row],[VALOR]]+Tabela2[[#This Row],[VALOR2]]+Tabela2[[#This Row],[AJUDA DE CUSTO]])+Tabela2[[#This Row],[VALOR3]]</f>
        <v>0</v>
      </c>
      <c r="AB141" s="22"/>
      <c r="AC141" s="23"/>
      <c r="AD141" s="22"/>
      <c r="AE141" s="16"/>
      <c r="AF141" s="16"/>
      <c r="AG141" s="25"/>
    </row>
    <row r="142" spans="1:33" hidden="1">
      <c r="A142" s="50"/>
      <c r="B142" s="12"/>
      <c r="C142" s="12"/>
      <c r="D142" s="12"/>
      <c r="E142" s="13"/>
      <c r="F142" s="16"/>
      <c r="G142" s="16"/>
      <c r="H142" s="16"/>
      <c r="I142" s="16"/>
      <c r="J142" s="16"/>
      <c r="K142" s="36"/>
      <c r="L142" s="16"/>
      <c r="M142" s="16"/>
      <c r="N142" s="16"/>
      <c r="O142" s="16"/>
      <c r="P142" s="16"/>
      <c r="Q142" s="16"/>
      <c r="R142" s="16"/>
      <c r="S142" s="51"/>
      <c r="T142" s="16"/>
      <c r="U142" s="19"/>
      <c r="V142" s="16"/>
      <c r="W142" s="19"/>
      <c r="X142" s="19"/>
      <c r="Y142" s="19"/>
      <c r="Z142" s="19"/>
      <c r="AA142" s="21">
        <f>SUM(Tabela2[[#This Row],[VALOR DO SERVIÇO CONTRATADO]]+Tabela2[[#This Row],[VALOR]]+Tabela2[[#This Row],[VALOR2]]+Tabela2[[#This Row],[AJUDA DE CUSTO]])+Tabela2[[#This Row],[VALOR3]]</f>
        <v>0</v>
      </c>
      <c r="AB142" s="22"/>
      <c r="AC142" s="23"/>
      <c r="AD142" s="22"/>
      <c r="AE142" s="16"/>
      <c r="AF142" s="16"/>
      <c r="AG142" s="25"/>
    </row>
    <row r="143" spans="1:33" hidden="1">
      <c r="A143" s="50"/>
      <c r="B143" s="12"/>
      <c r="C143" s="12"/>
      <c r="D143" s="12"/>
      <c r="E143" s="13"/>
      <c r="F143" s="16"/>
      <c r="G143" s="16"/>
      <c r="H143" s="16"/>
      <c r="I143" s="16"/>
      <c r="J143" s="16"/>
      <c r="K143" s="36"/>
      <c r="L143" s="16"/>
      <c r="M143" s="16"/>
      <c r="N143" s="16"/>
      <c r="O143" s="16"/>
      <c r="P143" s="16"/>
      <c r="Q143" s="16"/>
      <c r="R143" s="16"/>
      <c r="S143" s="51"/>
      <c r="T143" s="16"/>
      <c r="U143" s="19"/>
      <c r="V143" s="16"/>
      <c r="W143" s="19"/>
      <c r="X143" s="19"/>
      <c r="Y143" s="19"/>
      <c r="Z143" s="19"/>
      <c r="AA143" s="21">
        <f>SUM(Tabela2[[#This Row],[VALOR DO SERVIÇO CONTRATADO]]+Tabela2[[#This Row],[VALOR]]+Tabela2[[#This Row],[VALOR2]]+Tabela2[[#This Row],[AJUDA DE CUSTO]])+Tabela2[[#This Row],[VALOR3]]</f>
        <v>0</v>
      </c>
      <c r="AB143" s="22"/>
      <c r="AC143" s="23"/>
      <c r="AD143" s="22"/>
      <c r="AE143" s="16"/>
      <c r="AF143" s="16"/>
      <c r="AG143" s="25"/>
    </row>
    <row r="144" spans="1:33" hidden="1">
      <c r="A144" s="50"/>
      <c r="B144" s="12"/>
      <c r="C144" s="12"/>
      <c r="D144" s="12"/>
      <c r="E144" s="13"/>
      <c r="F144" s="16"/>
      <c r="G144" s="16"/>
      <c r="H144" s="16"/>
      <c r="I144" s="16"/>
      <c r="J144" s="16"/>
      <c r="K144" s="36"/>
      <c r="L144" s="16"/>
      <c r="M144" s="16"/>
      <c r="N144" s="16"/>
      <c r="O144" s="16"/>
      <c r="P144" s="16"/>
      <c r="Q144" s="16"/>
      <c r="R144" s="16"/>
      <c r="S144" s="51"/>
      <c r="T144" s="16"/>
      <c r="U144" s="19"/>
      <c r="V144" s="16"/>
      <c r="W144" s="19"/>
      <c r="X144" s="19"/>
      <c r="Y144" s="19"/>
      <c r="Z144" s="19"/>
      <c r="AA144" s="21">
        <f>SUM(Tabela2[[#This Row],[VALOR DO SERVIÇO CONTRATADO]]+Tabela2[[#This Row],[VALOR]]+Tabela2[[#This Row],[VALOR2]]+Tabela2[[#This Row],[AJUDA DE CUSTO]])+Tabela2[[#This Row],[VALOR3]]</f>
        <v>0</v>
      </c>
      <c r="AB144" s="22"/>
      <c r="AC144" s="23"/>
      <c r="AD144" s="22"/>
      <c r="AE144" s="16"/>
      <c r="AF144" s="16"/>
      <c r="AG144" s="25"/>
    </row>
    <row r="145" spans="1:33" hidden="1">
      <c r="A145" s="50"/>
      <c r="B145" s="12"/>
      <c r="C145" s="12"/>
      <c r="D145" s="12"/>
      <c r="E145" s="13"/>
      <c r="F145" s="16"/>
      <c r="G145" s="16"/>
      <c r="H145" s="16"/>
      <c r="I145" s="16"/>
      <c r="J145" s="16"/>
      <c r="K145" s="36"/>
      <c r="L145" s="16"/>
      <c r="M145" s="16"/>
      <c r="N145" s="16"/>
      <c r="O145" s="16"/>
      <c r="P145" s="16"/>
      <c r="Q145" s="16"/>
      <c r="R145" s="16"/>
      <c r="S145" s="51"/>
      <c r="T145" s="16"/>
      <c r="U145" s="19"/>
      <c r="V145" s="16"/>
      <c r="W145" s="19"/>
      <c r="X145" s="19"/>
      <c r="Y145" s="19"/>
      <c r="Z145" s="19"/>
      <c r="AA145" s="21">
        <f>SUM(Tabela2[[#This Row],[VALOR DO SERVIÇO CONTRATADO]]+Tabela2[[#This Row],[VALOR]]+Tabela2[[#This Row],[VALOR2]]+Tabela2[[#This Row],[AJUDA DE CUSTO]])+Tabela2[[#This Row],[VALOR3]]</f>
        <v>0</v>
      </c>
      <c r="AB145" s="22"/>
      <c r="AC145" s="23"/>
      <c r="AD145" s="22"/>
      <c r="AE145" s="16"/>
      <c r="AF145" s="16"/>
      <c r="AG145" s="25"/>
    </row>
    <row r="146" spans="1:33" hidden="1">
      <c r="A146" s="50"/>
      <c r="B146" s="12"/>
      <c r="C146" s="12"/>
      <c r="D146" s="12"/>
      <c r="E146" s="13"/>
      <c r="F146" s="16"/>
      <c r="G146" s="16"/>
      <c r="H146" s="16"/>
      <c r="I146" s="16"/>
      <c r="J146" s="16"/>
      <c r="K146" s="36"/>
      <c r="L146" s="16"/>
      <c r="M146" s="16"/>
      <c r="N146" s="16"/>
      <c r="O146" s="16"/>
      <c r="P146" s="16"/>
      <c r="Q146" s="16"/>
      <c r="R146" s="16"/>
      <c r="S146" s="51"/>
      <c r="T146" s="16"/>
      <c r="U146" s="19"/>
      <c r="V146" s="16"/>
      <c r="W146" s="19"/>
      <c r="X146" s="19"/>
      <c r="Y146" s="19"/>
      <c r="Z146" s="19"/>
      <c r="AA146" s="21">
        <f>SUM(Tabela2[[#This Row],[VALOR DO SERVIÇO CONTRATADO]]+Tabela2[[#This Row],[VALOR]]+Tabela2[[#This Row],[VALOR2]]+Tabela2[[#This Row],[AJUDA DE CUSTO]])+Tabela2[[#This Row],[VALOR3]]</f>
        <v>0</v>
      </c>
      <c r="AB146" s="22"/>
      <c r="AC146" s="23"/>
      <c r="AD146" s="22"/>
      <c r="AE146" s="16"/>
      <c r="AF146" s="16"/>
      <c r="AG146" s="25"/>
    </row>
    <row r="147" spans="1:33" hidden="1">
      <c r="A147" s="50"/>
      <c r="B147" s="12"/>
      <c r="C147" s="12"/>
      <c r="D147" s="12"/>
      <c r="E147" s="13"/>
      <c r="F147" s="16"/>
      <c r="G147" s="16"/>
      <c r="H147" s="16"/>
      <c r="I147" s="16"/>
      <c r="J147" s="16"/>
      <c r="K147" s="36"/>
      <c r="L147" s="16"/>
      <c r="M147" s="16"/>
      <c r="N147" s="16"/>
      <c r="O147" s="16"/>
      <c r="P147" s="16"/>
      <c r="Q147" s="16"/>
      <c r="R147" s="16"/>
      <c r="S147" s="51"/>
      <c r="T147" s="16"/>
      <c r="U147" s="19"/>
      <c r="V147" s="16"/>
      <c r="W147" s="19"/>
      <c r="X147" s="19"/>
      <c r="Y147" s="19"/>
      <c r="Z147" s="19"/>
      <c r="AA147" s="21">
        <f>SUM(Tabela2[[#This Row],[VALOR DO SERVIÇO CONTRATADO]]+Tabela2[[#This Row],[VALOR]]+Tabela2[[#This Row],[VALOR2]]+Tabela2[[#This Row],[AJUDA DE CUSTO]])+Tabela2[[#This Row],[VALOR3]]</f>
        <v>0</v>
      </c>
      <c r="AB147" s="22"/>
      <c r="AC147" s="23"/>
      <c r="AD147" s="22"/>
      <c r="AE147" s="16"/>
      <c r="AF147" s="16"/>
      <c r="AG147" s="25"/>
    </row>
    <row r="148" spans="1:33" hidden="1">
      <c r="A148" s="50"/>
      <c r="B148" s="12"/>
      <c r="C148" s="12"/>
      <c r="D148" s="12"/>
      <c r="E148" s="13"/>
      <c r="F148" s="16"/>
      <c r="G148" s="16"/>
      <c r="H148" s="16"/>
      <c r="I148" s="16"/>
      <c r="J148" s="16"/>
      <c r="K148" s="36"/>
      <c r="L148" s="16"/>
      <c r="M148" s="16"/>
      <c r="N148" s="16"/>
      <c r="O148" s="16"/>
      <c r="P148" s="16"/>
      <c r="Q148" s="16"/>
      <c r="R148" s="16"/>
      <c r="S148" s="51"/>
      <c r="T148" s="16"/>
      <c r="U148" s="19"/>
      <c r="V148" s="16"/>
      <c r="W148" s="19"/>
      <c r="X148" s="19"/>
      <c r="Y148" s="19"/>
      <c r="Z148" s="19"/>
      <c r="AA148" s="21">
        <f>SUM(Tabela2[[#This Row],[VALOR DO SERVIÇO CONTRATADO]]+Tabela2[[#This Row],[VALOR]]+Tabela2[[#This Row],[VALOR2]]+Tabela2[[#This Row],[AJUDA DE CUSTO]])+Tabela2[[#This Row],[VALOR3]]</f>
        <v>0</v>
      </c>
      <c r="AB148" s="22"/>
      <c r="AC148" s="23"/>
      <c r="AD148" s="22"/>
      <c r="AE148" s="16"/>
      <c r="AF148" s="16"/>
      <c r="AG148" s="25"/>
    </row>
    <row r="149" spans="1:33" hidden="1">
      <c r="A149" s="50"/>
      <c r="B149" s="12"/>
      <c r="C149" s="12"/>
      <c r="D149" s="12"/>
      <c r="E149" s="13"/>
      <c r="F149" s="16"/>
      <c r="G149" s="16"/>
      <c r="H149" s="16"/>
      <c r="I149" s="16"/>
      <c r="J149" s="16"/>
      <c r="K149" s="36"/>
      <c r="L149" s="16"/>
      <c r="M149" s="16"/>
      <c r="N149" s="16"/>
      <c r="O149" s="16"/>
      <c r="P149" s="16"/>
      <c r="Q149" s="16"/>
      <c r="R149" s="16"/>
      <c r="S149" s="51"/>
      <c r="T149" s="16"/>
      <c r="U149" s="19"/>
      <c r="V149" s="16"/>
      <c r="W149" s="19"/>
      <c r="X149" s="19"/>
      <c r="Y149" s="19"/>
      <c r="Z149" s="19"/>
      <c r="AA149" s="21">
        <f>SUM(Tabela2[[#This Row],[VALOR DO SERVIÇO CONTRATADO]]+Tabela2[[#This Row],[VALOR]]+Tabela2[[#This Row],[VALOR2]]+Tabela2[[#This Row],[AJUDA DE CUSTO]])+Tabela2[[#This Row],[VALOR3]]</f>
        <v>0</v>
      </c>
      <c r="AB149" s="22"/>
      <c r="AC149" s="23"/>
      <c r="AD149" s="22"/>
      <c r="AE149" s="16"/>
      <c r="AF149" s="16"/>
      <c r="AG149" s="25"/>
    </row>
    <row r="150" spans="1:33" hidden="1">
      <c r="A150" s="50"/>
      <c r="B150" s="12"/>
      <c r="C150" s="12"/>
      <c r="D150" s="12"/>
      <c r="E150" s="13"/>
      <c r="F150" s="16"/>
      <c r="G150" s="16"/>
      <c r="H150" s="16"/>
      <c r="I150" s="16"/>
      <c r="J150" s="16"/>
      <c r="K150" s="36"/>
      <c r="L150" s="16"/>
      <c r="M150" s="16"/>
      <c r="N150" s="16"/>
      <c r="O150" s="16"/>
      <c r="P150" s="16"/>
      <c r="Q150" s="16"/>
      <c r="R150" s="16"/>
      <c r="S150" s="51"/>
      <c r="T150" s="16"/>
      <c r="U150" s="19"/>
      <c r="V150" s="16"/>
      <c r="W150" s="19"/>
      <c r="X150" s="19"/>
      <c r="Y150" s="19"/>
      <c r="Z150" s="19"/>
      <c r="AA150" s="21">
        <f>SUM(Tabela2[[#This Row],[VALOR DO SERVIÇO CONTRATADO]]+Tabela2[[#This Row],[VALOR]]+Tabela2[[#This Row],[VALOR2]]+Tabela2[[#This Row],[AJUDA DE CUSTO]])+Tabela2[[#This Row],[VALOR3]]</f>
        <v>0</v>
      </c>
      <c r="AB150" s="22"/>
      <c r="AC150" s="23"/>
      <c r="AD150" s="22"/>
      <c r="AE150" s="16"/>
      <c r="AF150" s="16"/>
      <c r="AG150" s="25"/>
    </row>
    <row r="151" spans="1:33" hidden="1">
      <c r="A151" s="50"/>
      <c r="B151" s="12"/>
      <c r="C151" s="12"/>
      <c r="D151" s="12"/>
      <c r="E151" s="13"/>
      <c r="F151" s="16"/>
      <c r="G151" s="16"/>
      <c r="H151" s="16"/>
      <c r="I151" s="16"/>
      <c r="J151" s="16"/>
      <c r="K151" s="36"/>
      <c r="L151" s="16"/>
      <c r="M151" s="16"/>
      <c r="N151" s="16"/>
      <c r="O151" s="16"/>
      <c r="P151" s="16"/>
      <c r="Q151" s="16"/>
      <c r="R151" s="16"/>
      <c r="S151" s="51"/>
      <c r="T151" s="16"/>
      <c r="U151" s="19"/>
      <c r="V151" s="16"/>
      <c r="W151" s="19"/>
      <c r="X151" s="19"/>
      <c r="Y151" s="19"/>
      <c r="Z151" s="19"/>
      <c r="AA151" s="21">
        <f>SUM(Tabela2[[#This Row],[VALOR DO SERVIÇO CONTRATADO]]+Tabela2[[#This Row],[VALOR]]+Tabela2[[#This Row],[VALOR2]]+Tabela2[[#This Row],[AJUDA DE CUSTO]])+Tabela2[[#This Row],[VALOR3]]</f>
        <v>0</v>
      </c>
      <c r="AB151" s="22"/>
      <c r="AC151" s="23"/>
      <c r="AD151" s="22"/>
      <c r="AE151" s="16"/>
      <c r="AF151" s="16"/>
      <c r="AG151" s="25"/>
    </row>
    <row r="152" spans="1:33" hidden="1">
      <c r="A152" s="50"/>
      <c r="B152" s="12"/>
      <c r="C152" s="12"/>
      <c r="D152" s="12"/>
      <c r="E152" s="13"/>
      <c r="F152" s="16"/>
      <c r="G152" s="16"/>
      <c r="H152" s="16"/>
      <c r="I152" s="16"/>
      <c r="J152" s="16"/>
      <c r="K152" s="36"/>
      <c r="L152" s="16"/>
      <c r="M152" s="16"/>
      <c r="N152" s="16"/>
      <c r="O152" s="16"/>
      <c r="P152" s="16"/>
      <c r="Q152" s="16"/>
      <c r="R152" s="16"/>
      <c r="S152" s="51"/>
      <c r="T152" s="16"/>
      <c r="U152" s="19"/>
      <c r="V152" s="16"/>
      <c r="W152" s="16"/>
      <c r="X152" s="16"/>
      <c r="Y152" s="16"/>
      <c r="Z152" s="16"/>
      <c r="AA152" s="21">
        <f>SUM(Tabela2[[#This Row],[VALOR DO SERVIÇO CONTRATADO]]+Tabela2[[#This Row],[VALOR]]+Tabela2[[#This Row],[VALOR2]]+Tabela2[[#This Row],[AJUDA DE CUSTO]])+Tabela2[[#This Row],[VALOR3]]</f>
        <v>0</v>
      </c>
      <c r="AB152" s="22"/>
      <c r="AC152" s="23"/>
      <c r="AD152" s="22"/>
      <c r="AE152" s="16"/>
      <c r="AF152" s="16"/>
      <c r="AG152" s="25"/>
    </row>
    <row r="153" spans="1:33" hidden="1">
      <c r="A153" s="50"/>
      <c r="B153" s="12"/>
      <c r="C153" s="12"/>
      <c r="D153" s="12"/>
      <c r="E153" s="13"/>
      <c r="F153" s="16"/>
      <c r="G153" s="16"/>
      <c r="H153" s="16"/>
      <c r="I153" s="16"/>
      <c r="J153" s="16"/>
      <c r="K153" s="36"/>
      <c r="L153" s="16"/>
      <c r="M153" s="16"/>
      <c r="N153" s="16"/>
      <c r="O153" s="16"/>
      <c r="P153" s="16"/>
      <c r="Q153" s="16"/>
      <c r="R153" s="16"/>
      <c r="S153" s="51"/>
      <c r="T153" s="16"/>
      <c r="U153" s="19"/>
      <c r="V153" s="16"/>
      <c r="W153" s="16"/>
      <c r="X153" s="16"/>
      <c r="Y153" s="16"/>
      <c r="Z153" s="16"/>
      <c r="AA153" s="21">
        <f>SUM(Tabela2[[#This Row],[VALOR DO SERVIÇO CONTRATADO]]+Tabela2[[#This Row],[VALOR]]+Tabela2[[#This Row],[VALOR2]]+Tabela2[[#This Row],[AJUDA DE CUSTO]])+Tabela2[[#This Row],[VALOR3]]</f>
        <v>0</v>
      </c>
      <c r="AB153" s="22"/>
      <c r="AC153" s="23"/>
      <c r="AD153" s="22"/>
      <c r="AE153" s="16"/>
      <c r="AF153" s="16"/>
      <c r="AG153" s="25"/>
    </row>
    <row r="154" spans="1:33" hidden="1">
      <c r="A154" s="50"/>
      <c r="B154" s="12"/>
      <c r="C154" s="12"/>
      <c r="D154" s="12"/>
      <c r="E154" s="13"/>
      <c r="F154" s="16"/>
      <c r="G154" s="16"/>
      <c r="H154" s="16"/>
      <c r="I154" s="16"/>
      <c r="J154" s="16"/>
      <c r="K154" s="36"/>
      <c r="L154" s="16"/>
      <c r="M154" s="16"/>
      <c r="N154" s="16"/>
      <c r="O154" s="16"/>
      <c r="P154" s="16"/>
      <c r="Q154" s="16"/>
      <c r="R154" s="16"/>
      <c r="S154" s="51"/>
      <c r="T154" s="16"/>
      <c r="U154" s="19"/>
      <c r="V154" s="16"/>
      <c r="W154" s="16"/>
      <c r="X154" s="16"/>
      <c r="Y154" s="16"/>
      <c r="Z154" s="16"/>
      <c r="AA154" s="21">
        <f>SUM(Tabela2[[#This Row],[VALOR DO SERVIÇO CONTRATADO]]+Tabela2[[#This Row],[VALOR]]+Tabela2[[#This Row],[VALOR2]]+Tabela2[[#This Row],[AJUDA DE CUSTO]])+Tabela2[[#This Row],[VALOR3]]</f>
        <v>0</v>
      </c>
      <c r="AB154" s="22"/>
      <c r="AC154" s="23"/>
      <c r="AD154" s="22"/>
      <c r="AE154" s="16"/>
      <c r="AF154" s="16"/>
      <c r="AG154" s="25"/>
    </row>
    <row r="155" spans="1:33" hidden="1">
      <c r="A155" s="50"/>
      <c r="B155" s="12"/>
      <c r="C155" s="12"/>
      <c r="D155" s="12"/>
      <c r="E155" s="13"/>
      <c r="F155" s="16"/>
      <c r="G155" s="16"/>
      <c r="H155" s="16"/>
      <c r="I155" s="16"/>
      <c r="J155" s="16"/>
      <c r="K155" s="36"/>
      <c r="L155" s="16"/>
      <c r="M155" s="16"/>
      <c r="N155" s="16"/>
      <c r="O155" s="16"/>
      <c r="P155" s="16"/>
      <c r="Q155" s="16"/>
      <c r="R155" s="16"/>
      <c r="S155" s="51"/>
      <c r="T155" s="16"/>
      <c r="U155" s="19"/>
      <c r="V155" s="16"/>
      <c r="W155" s="16"/>
      <c r="X155" s="16"/>
      <c r="Y155" s="16"/>
      <c r="Z155" s="16"/>
      <c r="AA155" s="21">
        <f>SUM(Tabela2[[#This Row],[VALOR DO SERVIÇO CONTRATADO]]+Tabela2[[#This Row],[VALOR]]+Tabela2[[#This Row],[VALOR2]]+Tabela2[[#This Row],[AJUDA DE CUSTO]])+Tabela2[[#This Row],[VALOR3]]</f>
        <v>0</v>
      </c>
      <c r="AB155" s="22"/>
      <c r="AC155" s="23"/>
      <c r="AD155" s="22"/>
      <c r="AE155" s="16"/>
      <c r="AF155" s="16"/>
      <c r="AG155" s="25"/>
    </row>
    <row r="156" spans="1:33" hidden="1">
      <c r="A156" s="50"/>
      <c r="B156" s="12"/>
      <c r="C156" s="12"/>
      <c r="D156" s="12"/>
      <c r="E156" s="13"/>
      <c r="F156" s="16"/>
      <c r="G156" s="16"/>
      <c r="H156" s="16"/>
      <c r="I156" s="16"/>
      <c r="J156" s="16"/>
      <c r="K156" s="36"/>
      <c r="L156" s="16"/>
      <c r="M156" s="16"/>
      <c r="N156" s="16"/>
      <c r="O156" s="16"/>
      <c r="P156" s="16"/>
      <c r="Q156" s="16"/>
      <c r="R156" s="16"/>
      <c r="S156" s="51"/>
      <c r="T156" s="16"/>
      <c r="U156" s="19"/>
      <c r="V156" s="16"/>
      <c r="W156" s="16"/>
      <c r="X156" s="16"/>
      <c r="Y156" s="16"/>
      <c r="Z156" s="16"/>
      <c r="AA156" s="21">
        <f>SUM(Tabela2[[#This Row],[VALOR DO SERVIÇO CONTRATADO]]+Tabela2[[#This Row],[VALOR]]+Tabela2[[#This Row],[VALOR2]]+Tabela2[[#This Row],[AJUDA DE CUSTO]])+Tabela2[[#This Row],[VALOR3]]</f>
        <v>0</v>
      </c>
      <c r="AB156" s="22"/>
      <c r="AC156" s="23"/>
      <c r="AD156" s="22"/>
      <c r="AE156" s="16"/>
      <c r="AF156" s="16"/>
      <c r="AG156" s="25"/>
    </row>
    <row r="157" spans="1:33" hidden="1">
      <c r="A157" s="50"/>
      <c r="B157" s="12"/>
      <c r="C157" s="12"/>
      <c r="D157" s="12"/>
      <c r="E157" s="13"/>
      <c r="F157" s="16"/>
      <c r="G157" s="16"/>
      <c r="H157" s="16"/>
      <c r="I157" s="16"/>
      <c r="J157" s="16"/>
      <c r="K157" s="36"/>
      <c r="L157" s="16"/>
      <c r="M157" s="16"/>
      <c r="N157" s="16"/>
      <c r="O157" s="16"/>
      <c r="P157" s="16"/>
      <c r="Q157" s="16"/>
      <c r="R157" s="16"/>
      <c r="S157" s="51"/>
      <c r="T157" s="16"/>
      <c r="U157" s="19"/>
      <c r="V157" s="16"/>
      <c r="W157" s="16"/>
      <c r="X157" s="16"/>
      <c r="Y157" s="16"/>
      <c r="Z157" s="16"/>
      <c r="AA157" s="21">
        <f>SUM(Tabela2[[#This Row],[VALOR DO SERVIÇO CONTRATADO]]+Tabela2[[#This Row],[VALOR]]+Tabela2[[#This Row],[VALOR2]]+Tabela2[[#This Row],[AJUDA DE CUSTO]])+Tabela2[[#This Row],[VALOR3]]</f>
        <v>0</v>
      </c>
      <c r="AB157" s="22"/>
      <c r="AC157" s="23"/>
      <c r="AD157" s="22"/>
      <c r="AE157" s="16"/>
      <c r="AF157" s="16"/>
      <c r="AG157" s="25"/>
    </row>
    <row r="158" spans="1:33" hidden="1">
      <c r="A158" s="50"/>
      <c r="B158" s="12"/>
      <c r="C158" s="12"/>
      <c r="D158" s="12"/>
      <c r="E158" s="13"/>
      <c r="F158" s="16"/>
      <c r="G158" s="16"/>
      <c r="H158" s="16"/>
      <c r="I158" s="16"/>
      <c r="J158" s="16"/>
      <c r="K158" s="36"/>
      <c r="L158" s="16"/>
      <c r="M158" s="16"/>
      <c r="N158" s="16"/>
      <c r="O158" s="16"/>
      <c r="P158" s="16"/>
      <c r="Q158" s="16"/>
      <c r="R158" s="16"/>
      <c r="S158" s="51"/>
      <c r="T158" s="16"/>
      <c r="U158" s="19"/>
      <c r="V158" s="16"/>
      <c r="W158" s="16"/>
      <c r="X158" s="16"/>
      <c r="Y158" s="16"/>
      <c r="Z158" s="16"/>
      <c r="AA158" s="21">
        <f>SUM(Tabela2[[#This Row],[VALOR DO SERVIÇO CONTRATADO]]+Tabela2[[#This Row],[VALOR]]+Tabela2[[#This Row],[VALOR2]]+Tabela2[[#This Row],[AJUDA DE CUSTO]])+Tabela2[[#This Row],[VALOR3]]</f>
        <v>0</v>
      </c>
      <c r="AB158" s="22"/>
      <c r="AC158" s="23"/>
      <c r="AD158" s="22"/>
      <c r="AE158" s="16"/>
      <c r="AF158" s="16"/>
      <c r="AG158" s="25"/>
    </row>
    <row r="159" spans="1:33" hidden="1">
      <c r="A159" s="50"/>
      <c r="B159" s="12"/>
      <c r="C159" s="12"/>
      <c r="D159" s="12"/>
      <c r="E159" s="13"/>
      <c r="F159" s="16"/>
      <c r="G159" s="16"/>
      <c r="H159" s="16"/>
      <c r="I159" s="16"/>
      <c r="J159" s="16"/>
      <c r="K159" s="36"/>
      <c r="L159" s="16"/>
      <c r="M159" s="16"/>
      <c r="N159" s="16"/>
      <c r="O159" s="16"/>
      <c r="P159" s="16"/>
      <c r="Q159" s="16"/>
      <c r="R159" s="16"/>
      <c r="S159" s="51"/>
      <c r="T159" s="16"/>
      <c r="U159" s="19"/>
      <c r="V159" s="16"/>
      <c r="W159" s="16"/>
      <c r="X159" s="16"/>
      <c r="Y159" s="16"/>
      <c r="Z159" s="16"/>
      <c r="AA159" s="21">
        <f>SUM(Tabela2[[#This Row],[VALOR DO SERVIÇO CONTRATADO]]+Tabela2[[#This Row],[VALOR]]+Tabela2[[#This Row],[VALOR2]]+Tabela2[[#This Row],[AJUDA DE CUSTO]])+Tabela2[[#This Row],[VALOR3]]</f>
        <v>0</v>
      </c>
      <c r="AB159" s="22"/>
      <c r="AC159" s="23"/>
      <c r="AD159" s="22"/>
      <c r="AE159" s="16"/>
      <c r="AF159" s="16"/>
      <c r="AG159" s="25"/>
    </row>
    <row r="160" spans="1:33" hidden="1">
      <c r="A160" s="50"/>
      <c r="B160" s="12"/>
      <c r="C160" s="12"/>
      <c r="D160" s="12"/>
      <c r="E160" s="13"/>
      <c r="F160" s="16"/>
      <c r="G160" s="16"/>
      <c r="H160" s="16"/>
      <c r="I160" s="16"/>
      <c r="J160" s="16"/>
      <c r="K160" s="36"/>
      <c r="L160" s="16"/>
      <c r="M160" s="16"/>
      <c r="N160" s="16"/>
      <c r="O160" s="16"/>
      <c r="P160" s="16"/>
      <c r="Q160" s="16"/>
      <c r="R160" s="16"/>
      <c r="S160" s="51"/>
      <c r="T160" s="16"/>
      <c r="U160" s="19"/>
      <c r="V160" s="16"/>
      <c r="W160" s="16"/>
      <c r="X160" s="16"/>
      <c r="Y160" s="16"/>
      <c r="Z160" s="16"/>
      <c r="AA160" s="21">
        <f>SUM(Tabela2[[#This Row],[VALOR DO SERVIÇO CONTRATADO]]+Tabela2[[#This Row],[VALOR]]+Tabela2[[#This Row],[VALOR2]]+Tabela2[[#This Row],[AJUDA DE CUSTO]])+Tabela2[[#This Row],[VALOR3]]</f>
        <v>0</v>
      </c>
      <c r="AB160" s="22"/>
      <c r="AC160" s="23"/>
      <c r="AD160" s="22"/>
      <c r="AE160" s="16"/>
      <c r="AF160" s="16"/>
      <c r="AG160" s="25"/>
    </row>
    <row r="161" spans="1:33" hidden="1">
      <c r="A161" s="50"/>
      <c r="B161" s="12"/>
      <c r="C161" s="12"/>
      <c r="D161" s="12"/>
      <c r="E161" s="13"/>
      <c r="F161" s="16"/>
      <c r="G161" s="16"/>
      <c r="H161" s="16"/>
      <c r="I161" s="16"/>
      <c r="J161" s="16"/>
      <c r="K161" s="36"/>
      <c r="L161" s="16"/>
      <c r="M161" s="16"/>
      <c r="N161" s="16"/>
      <c r="O161" s="16"/>
      <c r="P161" s="16"/>
      <c r="Q161" s="16"/>
      <c r="R161" s="16"/>
      <c r="S161" s="51"/>
      <c r="T161" s="16"/>
      <c r="U161" s="19"/>
      <c r="V161" s="16"/>
      <c r="W161" s="16"/>
      <c r="X161" s="16"/>
      <c r="Y161" s="16"/>
      <c r="Z161" s="16"/>
      <c r="AA161" s="21">
        <f>SUM(Tabela2[[#This Row],[VALOR DO SERVIÇO CONTRATADO]]+Tabela2[[#This Row],[VALOR]]+Tabela2[[#This Row],[VALOR2]]+Tabela2[[#This Row],[AJUDA DE CUSTO]])+Tabela2[[#This Row],[VALOR3]]</f>
        <v>0</v>
      </c>
      <c r="AB161" s="22"/>
      <c r="AC161" s="23"/>
      <c r="AD161" s="22"/>
      <c r="AE161" s="16"/>
      <c r="AF161" s="16"/>
      <c r="AG161" s="25"/>
    </row>
    <row r="162" spans="1:33" hidden="1">
      <c r="A162" s="50"/>
      <c r="B162" s="12"/>
      <c r="C162" s="12"/>
      <c r="D162" s="12"/>
      <c r="E162" s="13"/>
      <c r="F162" s="16"/>
      <c r="G162" s="16"/>
      <c r="H162" s="16"/>
      <c r="I162" s="16"/>
      <c r="J162" s="16"/>
      <c r="K162" s="36"/>
      <c r="L162" s="16"/>
      <c r="M162" s="16"/>
      <c r="N162" s="16"/>
      <c r="O162" s="16"/>
      <c r="P162" s="16"/>
      <c r="Q162" s="16"/>
      <c r="R162" s="16"/>
      <c r="S162" s="51"/>
      <c r="T162" s="16"/>
      <c r="U162" s="19"/>
      <c r="V162" s="16"/>
      <c r="W162" s="16"/>
      <c r="X162" s="16"/>
      <c r="Y162" s="16"/>
      <c r="Z162" s="16"/>
      <c r="AA162" s="21">
        <f>SUM(Tabela2[[#This Row],[VALOR DO SERVIÇO CONTRATADO]]+Tabela2[[#This Row],[VALOR]]+Tabela2[[#This Row],[VALOR2]]+Tabela2[[#This Row],[AJUDA DE CUSTO]])+Tabela2[[#This Row],[VALOR3]]</f>
        <v>0</v>
      </c>
      <c r="AB162" s="22"/>
      <c r="AC162" s="23"/>
      <c r="AD162" s="22"/>
      <c r="AE162" s="16"/>
      <c r="AF162" s="16"/>
      <c r="AG162" s="25"/>
    </row>
    <row r="163" spans="1:33" hidden="1">
      <c r="A163" s="50"/>
      <c r="B163" s="12"/>
      <c r="C163" s="12"/>
      <c r="D163" s="12"/>
      <c r="E163" s="13"/>
      <c r="F163" s="16"/>
      <c r="G163" s="16"/>
      <c r="H163" s="16"/>
      <c r="I163" s="16"/>
      <c r="J163" s="16"/>
      <c r="K163" s="36"/>
      <c r="L163" s="16"/>
      <c r="M163" s="16"/>
      <c r="N163" s="16"/>
      <c r="O163" s="16"/>
      <c r="P163" s="16"/>
      <c r="Q163" s="16"/>
      <c r="R163" s="16"/>
      <c r="S163" s="51"/>
      <c r="T163" s="16"/>
      <c r="U163" s="19"/>
      <c r="V163" s="16"/>
      <c r="W163" s="16"/>
      <c r="X163" s="16"/>
      <c r="Y163" s="16"/>
      <c r="Z163" s="16"/>
      <c r="AA163" s="21">
        <f>SUM(Tabela2[[#This Row],[VALOR DO SERVIÇO CONTRATADO]]+Tabela2[[#This Row],[VALOR]]+Tabela2[[#This Row],[VALOR2]]+Tabela2[[#This Row],[AJUDA DE CUSTO]])+Tabela2[[#This Row],[VALOR3]]</f>
        <v>0</v>
      </c>
      <c r="AB163" s="22"/>
      <c r="AC163" s="23"/>
      <c r="AD163" s="22"/>
      <c r="AE163" s="16"/>
      <c r="AF163" s="16"/>
      <c r="AG163" s="25"/>
    </row>
    <row r="164" spans="1:33" hidden="1">
      <c r="A164" s="50"/>
      <c r="B164" s="12"/>
      <c r="C164" s="12"/>
      <c r="D164" s="12"/>
      <c r="E164" s="13"/>
      <c r="F164" s="16"/>
      <c r="G164" s="16"/>
      <c r="H164" s="16"/>
      <c r="I164" s="16"/>
      <c r="J164" s="16"/>
      <c r="K164" s="36"/>
      <c r="L164" s="16"/>
      <c r="M164" s="16"/>
      <c r="N164" s="16"/>
      <c r="O164" s="16"/>
      <c r="P164" s="16"/>
      <c r="Q164" s="16"/>
      <c r="R164" s="16"/>
      <c r="S164" s="51"/>
      <c r="T164" s="16"/>
      <c r="U164" s="19"/>
      <c r="V164" s="16"/>
      <c r="W164" s="16"/>
      <c r="X164" s="16"/>
      <c r="Y164" s="16"/>
      <c r="Z164" s="16"/>
      <c r="AA164" s="21">
        <f>SUM(Tabela2[[#This Row],[VALOR DO SERVIÇO CONTRATADO]]+Tabela2[[#This Row],[VALOR]]+Tabela2[[#This Row],[VALOR2]]+Tabela2[[#This Row],[AJUDA DE CUSTO]])+Tabela2[[#This Row],[VALOR3]]</f>
        <v>0</v>
      </c>
      <c r="AB164" s="22"/>
      <c r="AC164" s="23"/>
      <c r="AD164" s="22"/>
      <c r="AE164" s="16"/>
      <c r="AF164" s="16"/>
      <c r="AG164" s="25"/>
    </row>
    <row r="165" spans="1:33" hidden="1">
      <c r="A165" s="50"/>
      <c r="B165" s="12"/>
      <c r="C165" s="12"/>
      <c r="D165" s="12"/>
      <c r="E165" s="13"/>
      <c r="F165" s="16"/>
      <c r="G165" s="16"/>
      <c r="H165" s="16"/>
      <c r="I165" s="16"/>
      <c r="J165" s="16"/>
      <c r="K165" s="36"/>
      <c r="L165" s="16"/>
      <c r="M165" s="16"/>
      <c r="N165" s="16"/>
      <c r="O165" s="16"/>
      <c r="P165" s="16"/>
      <c r="Q165" s="16"/>
      <c r="R165" s="16"/>
      <c r="S165" s="51"/>
      <c r="T165" s="16"/>
      <c r="U165" s="19"/>
      <c r="V165" s="16"/>
      <c r="W165" s="16"/>
      <c r="X165" s="16"/>
      <c r="Y165" s="16"/>
      <c r="Z165" s="16"/>
      <c r="AA165" s="21">
        <f>SUM(Tabela2[[#This Row],[VALOR DO SERVIÇO CONTRATADO]]+Tabela2[[#This Row],[VALOR]]+Tabela2[[#This Row],[VALOR2]]+Tabela2[[#This Row],[AJUDA DE CUSTO]])+Tabela2[[#This Row],[VALOR3]]</f>
        <v>0</v>
      </c>
      <c r="AB165" s="22"/>
      <c r="AC165" s="23"/>
      <c r="AD165" s="22"/>
      <c r="AE165" s="16"/>
      <c r="AF165" s="16"/>
      <c r="AG165" s="25"/>
    </row>
    <row r="166" spans="1:33" hidden="1">
      <c r="A166" s="50"/>
      <c r="B166" s="12"/>
      <c r="C166" s="12"/>
      <c r="D166" s="12"/>
      <c r="E166" s="13"/>
      <c r="F166" s="16"/>
      <c r="G166" s="16"/>
      <c r="H166" s="16"/>
      <c r="I166" s="16"/>
      <c r="J166" s="16"/>
      <c r="K166" s="36"/>
      <c r="L166" s="16"/>
      <c r="M166" s="16"/>
      <c r="N166" s="16"/>
      <c r="O166" s="16"/>
      <c r="P166" s="16"/>
      <c r="Q166" s="16"/>
      <c r="R166" s="16"/>
      <c r="S166" s="51"/>
      <c r="T166" s="16"/>
      <c r="U166" s="19"/>
      <c r="V166" s="16"/>
      <c r="W166" s="16"/>
      <c r="X166" s="16"/>
      <c r="Y166" s="16"/>
      <c r="Z166" s="16"/>
      <c r="AA166" s="21">
        <f>SUM(Tabela2[[#This Row],[VALOR DO SERVIÇO CONTRATADO]]+Tabela2[[#This Row],[VALOR]]+Tabela2[[#This Row],[VALOR2]]+Tabela2[[#This Row],[AJUDA DE CUSTO]])+Tabela2[[#This Row],[VALOR3]]</f>
        <v>0</v>
      </c>
      <c r="AB166" s="22"/>
      <c r="AC166" s="23"/>
      <c r="AD166" s="22"/>
      <c r="AE166" s="16"/>
      <c r="AF166" s="16"/>
      <c r="AG166" s="25"/>
    </row>
    <row r="167" spans="1:33" hidden="1">
      <c r="A167" s="50"/>
      <c r="B167" s="12"/>
      <c r="C167" s="12"/>
      <c r="D167" s="12"/>
      <c r="E167" s="13"/>
      <c r="F167" s="16"/>
      <c r="G167" s="16"/>
      <c r="H167" s="16"/>
      <c r="I167" s="16"/>
      <c r="J167" s="16"/>
      <c r="K167" s="36"/>
      <c r="L167" s="16"/>
      <c r="M167" s="16"/>
      <c r="N167" s="16"/>
      <c r="O167" s="16"/>
      <c r="P167" s="16"/>
      <c r="Q167" s="16"/>
      <c r="R167" s="16"/>
      <c r="S167" s="51"/>
      <c r="T167" s="16"/>
      <c r="U167" s="19"/>
      <c r="V167" s="16"/>
      <c r="W167" s="16"/>
      <c r="X167" s="16"/>
      <c r="Y167" s="16"/>
      <c r="Z167" s="16"/>
      <c r="AA167" s="21">
        <f>SUM(Tabela2[[#This Row],[VALOR DO SERVIÇO CONTRATADO]]+Tabela2[[#This Row],[VALOR]]+Tabela2[[#This Row],[VALOR2]]+Tabela2[[#This Row],[AJUDA DE CUSTO]])+Tabela2[[#This Row],[VALOR3]]</f>
        <v>0</v>
      </c>
      <c r="AB167" s="22"/>
      <c r="AC167" s="23"/>
      <c r="AD167" s="22"/>
      <c r="AE167" s="16"/>
      <c r="AF167" s="16"/>
      <c r="AG167" s="25"/>
    </row>
    <row r="168" spans="1:33" hidden="1">
      <c r="A168" s="50"/>
      <c r="B168" s="12"/>
      <c r="C168" s="12"/>
      <c r="D168" s="12"/>
      <c r="E168" s="13"/>
      <c r="F168" s="16"/>
      <c r="G168" s="16"/>
      <c r="H168" s="16"/>
      <c r="I168" s="16"/>
      <c r="J168" s="16"/>
      <c r="K168" s="36"/>
      <c r="L168" s="16"/>
      <c r="M168" s="16"/>
      <c r="N168" s="16"/>
      <c r="O168" s="16"/>
      <c r="P168" s="16"/>
      <c r="Q168" s="16"/>
      <c r="R168" s="16"/>
      <c r="S168" s="16"/>
      <c r="T168" s="16"/>
      <c r="U168" s="19"/>
      <c r="V168" s="16"/>
      <c r="W168" s="16"/>
      <c r="X168" s="16"/>
      <c r="Y168" s="16"/>
      <c r="Z168" s="16"/>
      <c r="AA168" s="21">
        <f>SUM(Tabela2[[#This Row],[VALOR DO SERVIÇO CONTRATADO]]+Tabela2[[#This Row],[VALOR]]+Tabela2[[#This Row],[VALOR2]]+Tabela2[[#This Row],[AJUDA DE CUSTO]])+Tabela2[[#This Row],[VALOR3]]</f>
        <v>0</v>
      </c>
      <c r="AB168" s="22"/>
      <c r="AC168" s="23"/>
      <c r="AD168" s="22"/>
      <c r="AE168" s="16"/>
      <c r="AF168" s="16"/>
      <c r="AG168" s="25"/>
    </row>
    <row r="169" spans="1:33" hidden="1">
      <c r="A169" s="50"/>
      <c r="B169" s="12"/>
      <c r="C169" s="12"/>
      <c r="D169" s="12"/>
      <c r="E169" s="13"/>
      <c r="F169" s="16"/>
      <c r="G169" s="16"/>
      <c r="H169" s="16"/>
      <c r="I169" s="16"/>
      <c r="J169" s="16"/>
      <c r="K169" s="36"/>
      <c r="L169" s="16"/>
      <c r="M169" s="16"/>
      <c r="N169" s="16"/>
      <c r="O169" s="16"/>
      <c r="P169" s="16"/>
      <c r="Q169" s="16"/>
      <c r="R169" s="16"/>
      <c r="S169" s="16"/>
      <c r="T169" s="16"/>
      <c r="U169" s="19"/>
      <c r="V169" s="16"/>
      <c r="W169" s="16"/>
      <c r="X169" s="16"/>
      <c r="Y169" s="16"/>
      <c r="Z169" s="16"/>
      <c r="AA169" s="21">
        <f>SUM(Tabela2[[#This Row],[VALOR DO SERVIÇO CONTRATADO]]+Tabela2[[#This Row],[VALOR]]+Tabela2[[#This Row],[VALOR2]]+Tabela2[[#This Row],[AJUDA DE CUSTO]])+Tabela2[[#This Row],[VALOR3]]</f>
        <v>0</v>
      </c>
      <c r="AB169" s="22"/>
      <c r="AC169" s="23"/>
      <c r="AD169" s="22"/>
      <c r="AE169" s="16"/>
      <c r="AF169" s="16"/>
      <c r="AG169" s="25"/>
    </row>
    <row r="170" spans="1:33" hidden="1">
      <c r="A170" s="50"/>
      <c r="B170" s="12"/>
      <c r="C170" s="12"/>
      <c r="D170" s="12"/>
      <c r="E170" s="13"/>
      <c r="F170" s="16"/>
      <c r="G170" s="16"/>
      <c r="H170" s="16"/>
      <c r="I170" s="16"/>
      <c r="J170" s="16"/>
      <c r="K170" s="36"/>
      <c r="L170" s="16"/>
      <c r="M170" s="16"/>
      <c r="N170" s="16"/>
      <c r="O170" s="16"/>
      <c r="P170" s="16"/>
      <c r="Q170" s="16"/>
      <c r="R170" s="16"/>
      <c r="S170" s="16"/>
      <c r="T170" s="16"/>
      <c r="U170" s="19"/>
      <c r="V170" s="16"/>
      <c r="W170" s="16"/>
      <c r="X170" s="16"/>
      <c r="Y170" s="16"/>
      <c r="Z170" s="16"/>
      <c r="AA170" s="21">
        <f>SUM(Tabela2[[#This Row],[VALOR DO SERVIÇO CONTRATADO]]+Tabela2[[#This Row],[VALOR]]+Tabela2[[#This Row],[VALOR2]]+Tabela2[[#This Row],[AJUDA DE CUSTO]])+Tabela2[[#This Row],[VALOR3]]</f>
        <v>0</v>
      </c>
      <c r="AB170" s="22"/>
      <c r="AC170" s="23"/>
      <c r="AD170" s="22"/>
      <c r="AE170" s="16"/>
      <c r="AF170" s="16"/>
      <c r="AG170" s="25"/>
    </row>
    <row r="171" spans="1:33" hidden="1">
      <c r="A171" s="50"/>
      <c r="B171" s="52"/>
      <c r="C171" s="12"/>
      <c r="D171" s="12"/>
      <c r="E171" s="13"/>
      <c r="F171" s="38"/>
      <c r="G171" s="38"/>
      <c r="H171" s="38"/>
      <c r="I171" s="38"/>
      <c r="J171" s="38"/>
      <c r="K171" s="82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38"/>
      <c r="W171" s="38"/>
      <c r="X171" s="38"/>
      <c r="Y171" s="38"/>
      <c r="Z171" s="38"/>
      <c r="AA171" s="21">
        <f>SUM(Tabela2[[#This Row],[VALOR DO SERVIÇO CONTRATADO]]+Tabela2[[#This Row],[VALOR]]+Tabela2[[#This Row],[VALOR2]]+Tabela2[[#This Row],[AJUDA DE CUSTO]])+Tabela2[[#This Row],[VALOR3]]</f>
        <v>0</v>
      </c>
      <c r="AB171" s="22"/>
      <c r="AC171" s="23"/>
      <c r="AD171" s="41"/>
      <c r="AE171" s="38"/>
      <c r="AF171" s="38"/>
      <c r="AG171" s="42"/>
    </row>
    <row r="172" spans="1:33" hidden="1">
      <c r="A172" s="50"/>
      <c r="B172" s="12"/>
      <c r="C172" s="12"/>
      <c r="D172" s="12"/>
      <c r="E172" s="12"/>
      <c r="F172" s="16"/>
      <c r="G172" s="16"/>
      <c r="H172" s="16"/>
      <c r="I172" s="16"/>
      <c r="J172" s="16"/>
      <c r="K172" s="3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21">
        <f>SUM(Tabela2[[#This Row],[VALOR DO SERVIÇO CONTRATADO]]+Tabela2[[#This Row],[VALOR]]+Tabela2[[#This Row],[VALOR2]]+Tabela2[[#This Row],[AJUDA DE CUSTO]])+Tabela2[[#This Row],[VALOR3]]</f>
        <v>0</v>
      </c>
      <c r="AB172" s="16"/>
      <c r="AC172" s="23"/>
      <c r="AD172" s="22"/>
      <c r="AE172" s="16"/>
      <c r="AF172" s="16"/>
      <c r="AG172" s="25"/>
    </row>
    <row r="173" spans="1:33" hidden="1">
      <c r="A173" s="50"/>
      <c r="B173" s="12"/>
      <c r="C173" s="12"/>
      <c r="D173" s="12"/>
      <c r="E173" s="12"/>
      <c r="F173" s="16"/>
      <c r="G173" s="16"/>
      <c r="H173" s="16"/>
      <c r="I173" s="16"/>
      <c r="J173" s="16"/>
      <c r="K173" s="3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21">
        <f>SUM(Tabela2[[#This Row],[VALOR DO SERVIÇO CONTRATADO]]+Tabela2[[#This Row],[VALOR]]+Tabela2[[#This Row],[VALOR2]]+Tabela2[[#This Row],[AJUDA DE CUSTO]])+Tabela2[[#This Row],[VALOR3]]</f>
        <v>0</v>
      </c>
      <c r="AB173" s="16"/>
      <c r="AC173" s="23"/>
      <c r="AD173" s="22"/>
      <c r="AE173" s="16"/>
      <c r="AF173" s="16"/>
      <c r="AG173" s="25"/>
    </row>
    <row r="174" spans="1:33" hidden="1">
      <c r="A174" s="50"/>
      <c r="B174" s="12"/>
      <c r="C174" s="12"/>
      <c r="D174" s="12"/>
      <c r="E174" s="12"/>
      <c r="F174" s="16"/>
      <c r="G174" s="16"/>
      <c r="H174" s="16"/>
      <c r="I174" s="16"/>
      <c r="J174" s="16"/>
      <c r="K174" s="3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21">
        <f>SUM(Tabela2[[#This Row],[VALOR DO SERVIÇO CONTRATADO]]+Tabela2[[#This Row],[VALOR]]+Tabela2[[#This Row],[VALOR2]]+Tabela2[[#This Row],[AJUDA DE CUSTO]])+Tabela2[[#This Row],[VALOR3]]</f>
        <v>0</v>
      </c>
      <c r="AB174" s="16"/>
      <c r="AC174" s="23"/>
      <c r="AD174" s="22"/>
      <c r="AE174" s="16"/>
      <c r="AF174" s="16"/>
      <c r="AG174" s="25"/>
    </row>
    <row r="175" spans="1:33" hidden="1">
      <c r="A175" s="50"/>
      <c r="B175" s="12"/>
      <c r="C175" s="12"/>
      <c r="D175" s="12"/>
      <c r="E175" s="12"/>
      <c r="F175" s="16"/>
      <c r="G175" s="16"/>
      <c r="H175" s="16"/>
      <c r="I175" s="16"/>
      <c r="J175" s="16"/>
      <c r="K175" s="3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21">
        <f>SUM(Tabela2[[#This Row],[VALOR DO SERVIÇO CONTRATADO]]+Tabela2[[#This Row],[VALOR]]+Tabela2[[#This Row],[VALOR2]]+Tabela2[[#This Row],[AJUDA DE CUSTO]])+Tabela2[[#This Row],[VALOR3]]</f>
        <v>0</v>
      </c>
      <c r="AB175" s="16"/>
      <c r="AC175" s="23"/>
      <c r="AD175" s="22"/>
      <c r="AE175" s="16"/>
      <c r="AF175" s="16"/>
      <c r="AG175" s="25"/>
    </row>
    <row r="176" spans="1:33" hidden="1">
      <c r="A176" s="50"/>
      <c r="B176" s="12"/>
      <c r="C176" s="12"/>
      <c r="D176" s="12"/>
      <c r="E176" s="12"/>
      <c r="F176" s="16"/>
      <c r="G176" s="16"/>
      <c r="H176" s="16"/>
      <c r="I176" s="16"/>
      <c r="J176" s="16"/>
      <c r="K176" s="3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21">
        <f>SUM(Tabela2[[#This Row],[VALOR DO SERVIÇO CONTRATADO]]+Tabela2[[#This Row],[VALOR]]+Tabela2[[#This Row],[VALOR2]]+Tabela2[[#This Row],[AJUDA DE CUSTO]])+Tabela2[[#This Row],[VALOR3]]</f>
        <v>0</v>
      </c>
      <c r="AB176" s="16"/>
      <c r="AC176" s="23"/>
      <c r="AD176" s="22"/>
      <c r="AE176" s="16"/>
      <c r="AF176" s="16"/>
      <c r="AG176" s="25"/>
    </row>
    <row r="177" spans="1:33" hidden="1">
      <c r="A177" s="50"/>
      <c r="B177" s="12"/>
      <c r="C177" s="12"/>
      <c r="D177" s="12"/>
      <c r="E177" s="12"/>
      <c r="F177" s="16"/>
      <c r="G177" s="16"/>
      <c r="H177" s="16"/>
      <c r="I177" s="16"/>
      <c r="J177" s="16"/>
      <c r="K177" s="3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21">
        <f>SUM(Tabela2[[#This Row],[VALOR DO SERVIÇO CONTRATADO]]+Tabela2[[#This Row],[VALOR]]+Tabela2[[#This Row],[VALOR2]]+Tabela2[[#This Row],[AJUDA DE CUSTO]])+Tabela2[[#This Row],[VALOR3]]</f>
        <v>0</v>
      </c>
      <c r="AB177" s="16"/>
      <c r="AC177" s="23"/>
      <c r="AD177" s="22"/>
      <c r="AE177" s="16"/>
      <c r="AF177" s="16"/>
      <c r="AG177" s="25"/>
    </row>
    <row r="178" spans="1:33" hidden="1">
      <c r="A178" s="50"/>
      <c r="B178" s="12"/>
      <c r="C178" s="12"/>
      <c r="D178" s="12"/>
      <c r="E178" s="12"/>
      <c r="F178" s="16"/>
      <c r="G178" s="16"/>
      <c r="H178" s="16"/>
      <c r="I178" s="16"/>
      <c r="J178" s="16"/>
      <c r="K178" s="3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21">
        <f>SUM(Tabela2[[#This Row],[VALOR DO SERVIÇO CONTRATADO]]+Tabela2[[#This Row],[VALOR]]+Tabela2[[#This Row],[VALOR2]]+Tabela2[[#This Row],[AJUDA DE CUSTO]])+Tabela2[[#This Row],[VALOR3]]</f>
        <v>0</v>
      </c>
      <c r="AB178" s="16"/>
      <c r="AC178" s="23"/>
      <c r="AD178" s="22"/>
      <c r="AE178" s="16"/>
      <c r="AF178" s="16"/>
      <c r="AG178" s="25"/>
    </row>
    <row r="179" spans="1:33" hidden="1">
      <c r="A179" s="50"/>
      <c r="B179" s="12"/>
      <c r="C179" s="12"/>
      <c r="D179" s="12"/>
      <c r="E179" s="12"/>
      <c r="F179" s="16"/>
      <c r="G179" s="16"/>
      <c r="H179" s="16"/>
      <c r="I179" s="16"/>
      <c r="J179" s="16"/>
      <c r="K179" s="3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21">
        <f>SUM(Tabela2[[#This Row],[VALOR DO SERVIÇO CONTRATADO]]+Tabela2[[#This Row],[VALOR]]+Tabela2[[#This Row],[VALOR2]]+Tabela2[[#This Row],[AJUDA DE CUSTO]])+Tabela2[[#This Row],[VALOR3]]</f>
        <v>0</v>
      </c>
      <c r="AB179" s="16"/>
      <c r="AC179" s="23"/>
      <c r="AD179" s="22"/>
      <c r="AE179" s="16"/>
      <c r="AF179" s="16"/>
      <c r="AG179" s="25"/>
    </row>
    <row r="180" spans="1:33" hidden="1">
      <c r="A180" s="50"/>
      <c r="B180" s="12"/>
      <c r="C180" s="12"/>
      <c r="D180" s="12"/>
      <c r="E180" s="12"/>
      <c r="F180" s="16"/>
      <c r="G180" s="16"/>
      <c r="H180" s="16"/>
      <c r="I180" s="16"/>
      <c r="J180" s="16"/>
      <c r="K180" s="3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21">
        <f>SUM(Tabela2[[#This Row],[VALOR DO SERVIÇO CONTRATADO]]+Tabela2[[#This Row],[VALOR]]+Tabela2[[#This Row],[VALOR2]]+Tabela2[[#This Row],[AJUDA DE CUSTO]])+Tabela2[[#This Row],[VALOR3]]</f>
        <v>0</v>
      </c>
      <c r="AB180" s="16"/>
      <c r="AC180" s="23"/>
      <c r="AD180" s="22"/>
      <c r="AE180" s="16"/>
      <c r="AF180" s="16"/>
      <c r="AG180" s="25"/>
    </row>
    <row r="181" spans="1:33" hidden="1">
      <c r="A181" s="50"/>
      <c r="B181" s="12"/>
      <c r="C181" s="12"/>
      <c r="D181" s="12"/>
      <c r="E181" s="12"/>
      <c r="F181" s="16"/>
      <c r="G181" s="16"/>
      <c r="H181" s="16"/>
      <c r="I181" s="16"/>
      <c r="J181" s="16"/>
      <c r="K181" s="3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21">
        <f>SUM(Tabela2[[#This Row],[VALOR DO SERVIÇO CONTRATADO]]+Tabela2[[#This Row],[VALOR]]+Tabela2[[#This Row],[VALOR2]]+Tabela2[[#This Row],[AJUDA DE CUSTO]])+Tabela2[[#This Row],[VALOR3]]</f>
        <v>0</v>
      </c>
      <c r="AB181" s="16"/>
      <c r="AC181" s="23"/>
      <c r="AD181" s="22"/>
      <c r="AE181" s="16"/>
      <c r="AF181" s="16"/>
      <c r="AG181" s="25"/>
    </row>
    <row r="182" spans="1:33" hidden="1">
      <c r="A182" s="50"/>
      <c r="B182" s="12"/>
      <c r="C182" s="12"/>
      <c r="D182" s="12"/>
      <c r="E182" s="12"/>
      <c r="F182" s="16"/>
      <c r="G182" s="16"/>
      <c r="H182" s="16"/>
      <c r="I182" s="16"/>
      <c r="J182" s="16"/>
      <c r="K182" s="3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21">
        <f>SUM(Tabela2[[#This Row],[VALOR DO SERVIÇO CONTRATADO]]+Tabela2[[#This Row],[VALOR]]+Tabela2[[#This Row],[VALOR2]]+Tabela2[[#This Row],[AJUDA DE CUSTO]])+Tabela2[[#This Row],[VALOR3]]</f>
        <v>0</v>
      </c>
      <c r="AB182" s="16"/>
      <c r="AC182" s="23"/>
      <c r="AD182" s="22"/>
      <c r="AE182" s="16"/>
      <c r="AF182" s="16"/>
      <c r="AG182" s="25"/>
    </row>
    <row r="183" spans="1:33" hidden="1">
      <c r="A183" s="50"/>
      <c r="B183" s="12"/>
      <c r="C183" s="12"/>
      <c r="D183" s="12"/>
      <c r="E183" s="12"/>
      <c r="F183" s="16"/>
      <c r="G183" s="16"/>
      <c r="H183" s="16"/>
      <c r="I183" s="16"/>
      <c r="J183" s="16"/>
      <c r="K183" s="3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21">
        <f>SUM(Tabela2[[#This Row],[VALOR DO SERVIÇO CONTRATADO]]+Tabela2[[#This Row],[VALOR]]+Tabela2[[#This Row],[VALOR2]]+Tabela2[[#This Row],[AJUDA DE CUSTO]])+Tabela2[[#This Row],[VALOR3]]</f>
        <v>0</v>
      </c>
      <c r="AB183" s="16"/>
      <c r="AC183" s="23"/>
      <c r="AD183" s="22"/>
      <c r="AE183" s="16"/>
      <c r="AF183" s="16"/>
      <c r="AG183" s="25"/>
    </row>
    <row r="184" spans="1:33" hidden="1">
      <c r="A184" s="50"/>
      <c r="B184" s="12"/>
      <c r="C184" s="12"/>
      <c r="D184" s="12"/>
      <c r="E184" s="12"/>
      <c r="F184" s="16"/>
      <c r="G184" s="16"/>
      <c r="H184" s="16"/>
      <c r="I184" s="16"/>
      <c r="J184" s="16"/>
      <c r="K184" s="3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21">
        <f>SUM(Tabela2[[#This Row],[VALOR DO SERVIÇO CONTRATADO]]+Tabela2[[#This Row],[VALOR]]+Tabela2[[#This Row],[VALOR2]]+Tabela2[[#This Row],[AJUDA DE CUSTO]])+Tabela2[[#This Row],[VALOR3]]</f>
        <v>0</v>
      </c>
      <c r="AB184" s="16"/>
      <c r="AC184" s="23"/>
      <c r="AD184" s="22"/>
      <c r="AE184" s="16"/>
      <c r="AF184" s="16"/>
      <c r="AG184" s="25"/>
    </row>
    <row r="185" spans="1:33" hidden="1">
      <c r="A185" s="50"/>
      <c r="B185" s="12"/>
      <c r="C185" s="12"/>
      <c r="D185" s="12"/>
      <c r="E185" s="12"/>
      <c r="F185" s="16"/>
      <c r="G185" s="16"/>
      <c r="H185" s="16"/>
      <c r="I185" s="16"/>
      <c r="J185" s="16"/>
      <c r="K185" s="3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21">
        <f>SUM(Tabela2[[#This Row],[VALOR DO SERVIÇO CONTRATADO]]+Tabela2[[#This Row],[VALOR]]+Tabela2[[#This Row],[VALOR2]]+Tabela2[[#This Row],[AJUDA DE CUSTO]])+Tabela2[[#This Row],[VALOR3]]</f>
        <v>0</v>
      </c>
      <c r="AB185" s="16"/>
      <c r="AC185" s="23"/>
      <c r="AD185" s="22"/>
      <c r="AE185" s="16"/>
      <c r="AF185" s="16"/>
      <c r="AG185" s="25"/>
    </row>
    <row r="186" spans="1:33" hidden="1">
      <c r="A186" s="50"/>
      <c r="B186" s="12"/>
      <c r="C186" s="12"/>
      <c r="D186" s="12"/>
      <c r="E186" s="12"/>
      <c r="F186" s="16"/>
      <c r="G186" s="16"/>
      <c r="H186" s="16"/>
      <c r="I186" s="16"/>
      <c r="J186" s="16"/>
      <c r="K186" s="3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21">
        <f>SUM(Tabela2[[#This Row],[VALOR DO SERVIÇO CONTRATADO]]+Tabela2[[#This Row],[VALOR]]+Tabela2[[#This Row],[VALOR2]]+Tabela2[[#This Row],[AJUDA DE CUSTO]])+Tabela2[[#This Row],[VALOR3]]</f>
        <v>0</v>
      </c>
      <c r="AB186" s="16"/>
      <c r="AC186" s="23"/>
      <c r="AD186" s="22"/>
      <c r="AE186" s="16"/>
      <c r="AF186" s="16"/>
      <c r="AG186" s="25"/>
    </row>
    <row r="187" spans="1:33" hidden="1">
      <c r="A187" s="50"/>
      <c r="B187" s="12"/>
      <c r="C187" s="12"/>
      <c r="D187" s="12"/>
      <c r="E187" s="12"/>
      <c r="F187" s="16"/>
      <c r="G187" s="16"/>
      <c r="H187" s="16"/>
      <c r="I187" s="16"/>
      <c r="J187" s="16"/>
      <c r="K187" s="3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21">
        <f>SUM(Tabela2[[#This Row],[VALOR DO SERVIÇO CONTRATADO]]+Tabela2[[#This Row],[VALOR]]+Tabela2[[#This Row],[VALOR2]]+Tabela2[[#This Row],[AJUDA DE CUSTO]])+Tabela2[[#This Row],[VALOR3]]</f>
        <v>0</v>
      </c>
      <c r="AB187" s="16"/>
      <c r="AC187" s="23"/>
      <c r="AD187" s="22"/>
      <c r="AE187" s="16"/>
      <c r="AF187" s="16"/>
      <c r="AG187" s="25"/>
    </row>
    <row r="188" spans="1:33" hidden="1">
      <c r="A188" s="50"/>
      <c r="B188" s="12"/>
      <c r="C188" s="12"/>
      <c r="D188" s="12"/>
      <c r="E188" s="12"/>
      <c r="F188" s="16"/>
      <c r="G188" s="16"/>
      <c r="H188" s="16"/>
      <c r="I188" s="16"/>
      <c r="J188" s="16"/>
      <c r="K188" s="3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21">
        <f>SUM(Tabela2[[#This Row],[VALOR DO SERVIÇO CONTRATADO]]+Tabela2[[#This Row],[VALOR]]+Tabela2[[#This Row],[VALOR2]]+Tabela2[[#This Row],[AJUDA DE CUSTO]])+Tabela2[[#This Row],[VALOR3]]</f>
        <v>0</v>
      </c>
      <c r="AB188" s="16"/>
      <c r="AC188" s="23"/>
      <c r="AD188" s="22"/>
      <c r="AE188" s="16"/>
      <c r="AF188" s="16"/>
      <c r="AG188" s="25"/>
    </row>
    <row r="189" spans="1:33" hidden="1">
      <c r="A189" s="50"/>
      <c r="B189" s="12"/>
      <c r="C189" s="12"/>
      <c r="D189" s="12"/>
      <c r="E189" s="12"/>
      <c r="F189" s="16"/>
      <c r="G189" s="16"/>
      <c r="H189" s="16"/>
      <c r="I189" s="16"/>
      <c r="J189" s="16"/>
      <c r="K189" s="3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21">
        <f>SUM(Tabela2[[#This Row],[VALOR DO SERVIÇO CONTRATADO]]+Tabela2[[#This Row],[VALOR]]+Tabela2[[#This Row],[VALOR2]]+Tabela2[[#This Row],[AJUDA DE CUSTO]])+Tabela2[[#This Row],[VALOR3]]</f>
        <v>0</v>
      </c>
      <c r="AB189" s="16"/>
      <c r="AC189" s="23"/>
      <c r="AD189" s="22"/>
      <c r="AE189" s="16"/>
      <c r="AF189" s="16"/>
      <c r="AG189" s="25"/>
    </row>
    <row r="190" spans="1:33" hidden="1">
      <c r="A190" s="50"/>
      <c r="B190" s="12"/>
      <c r="C190" s="12"/>
      <c r="D190" s="12"/>
      <c r="E190" s="12"/>
      <c r="F190" s="16"/>
      <c r="G190" s="16"/>
      <c r="H190" s="16"/>
      <c r="I190" s="16"/>
      <c r="J190" s="16"/>
      <c r="K190" s="3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21">
        <f>SUM(Tabela2[[#This Row],[VALOR DO SERVIÇO CONTRATADO]]+Tabela2[[#This Row],[VALOR]]+Tabela2[[#This Row],[VALOR2]]+Tabela2[[#This Row],[AJUDA DE CUSTO]])+Tabela2[[#This Row],[VALOR3]]</f>
        <v>0</v>
      </c>
      <c r="AB190" s="16"/>
      <c r="AC190" s="23"/>
      <c r="AD190" s="22"/>
      <c r="AE190" s="16"/>
      <c r="AF190" s="16"/>
      <c r="AG190" s="25"/>
    </row>
    <row r="191" spans="1:33" hidden="1">
      <c r="A191" s="50"/>
      <c r="B191" s="12"/>
      <c r="C191" s="12"/>
      <c r="D191" s="12"/>
      <c r="E191" s="12"/>
      <c r="F191" s="16"/>
      <c r="G191" s="16"/>
      <c r="H191" s="16"/>
      <c r="I191" s="16"/>
      <c r="J191" s="16"/>
      <c r="K191" s="3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21">
        <f>SUM(Tabela2[[#This Row],[VALOR DO SERVIÇO CONTRATADO]]+Tabela2[[#This Row],[VALOR]]+Tabela2[[#This Row],[VALOR2]]+Tabela2[[#This Row],[AJUDA DE CUSTO]])+Tabela2[[#This Row],[VALOR3]]</f>
        <v>0</v>
      </c>
      <c r="AB191" s="16"/>
      <c r="AC191" s="23"/>
      <c r="AD191" s="22"/>
      <c r="AE191" s="16"/>
      <c r="AF191" s="16"/>
      <c r="AG191" s="25"/>
    </row>
    <row r="192" spans="1:33" hidden="1">
      <c r="A192" s="50"/>
      <c r="B192" s="12"/>
      <c r="C192" s="12"/>
      <c r="D192" s="12"/>
      <c r="E192" s="12"/>
      <c r="F192" s="16"/>
      <c r="G192" s="16"/>
      <c r="H192" s="16"/>
      <c r="I192" s="16"/>
      <c r="J192" s="16"/>
      <c r="K192" s="3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21">
        <f>SUM(Tabela2[[#This Row],[VALOR DO SERVIÇO CONTRATADO]]+Tabela2[[#This Row],[VALOR]]+Tabela2[[#This Row],[VALOR2]]+Tabela2[[#This Row],[AJUDA DE CUSTO]])+Tabela2[[#This Row],[VALOR3]]</f>
        <v>0</v>
      </c>
      <c r="AB192" s="16"/>
      <c r="AC192" s="23"/>
      <c r="AD192" s="22"/>
      <c r="AE192" s="16"/>
      <c r="AF192" s="16"/>
      <c r="AG192" s="25"/>
    </row>
    <row r="193" spans="1:33" hidden="1">
      <c r="A193" s="50"/>
      <c r="B193" s="12"/>
      <c r="C193" s="12"/>
      <c r="D193" s="12"/>
      <c r="E193" s="12"/>
      <c r="F193" s="16"/>
      <c r="G193" s="16"/>
      <c r="H193" s="16"/>
      <c r="I193" s="16"/>
      <c r="J193" s="16"/>
      <c r="K193" s="3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21">
        <f>SUM(Tabela2[[#This Row],[VALOR DO SERVIÇO CONTRATADO]]+Tabela2[[#This Row],[VALOR]]+Tabela2[[#This Row],[VALOR2]]+Tabela2[[#This Row],[AJUDA DE CUSTO]])+Tabela2[[#This Row],[VALOR3]]</f>
        <v>0</v>
      </c>
      <c r="AB193" s="16"/>
      <c r="AC193" s="23"/>
      <c r="AD193" s="22"/>
      <c r="AE193" s="16"/>
      <c r="AF193" s="16"/>
      <c r="AG193" s="25"/>
    </row>
    <row r="194" spans="1:33" hidden="1">
      <c r="A194" s="50"/>
      <c r="B194" s="12"/>
      <c r="C194" s="12"/>
      <c r="D194" s="12"/>
      <c r="E194" s="12"/>
      <c r="F194" s="16"/>
      <c r="G194" s="16"/>
      <c r="H194" s="16"/>
      <c r="I194" s="16"/>
      <c r="J194" s="16"/>
      <c r="K194" s="3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21">
        <f>SUM(Tabela2[[#This Row],[VALOR DO SERVIÇO CONTRATADO]]+Tabela2[[#This Row],[VALOR]]+Tabela2[[#This Row],[VALOR2]]+Tabela2[[#This Row],[AJUDA DE CUSTO]])+Tabela2[[#This Row],[VALOR3]]</f>
        <v>0</v>
      </c>
      <c r="AB194" s="16"/>
      <c r="AC194" s="23"/>
      <c r="AD194" s="22"/>
      <c r="AE194" s="16"/>
      <c r="AF194" s="16"/>
      <c r="AG194" s="25"/>
    </row>
    <row r="195" spans="1:33" hidden="1">
      <c r="A195" s="50"/>
      <c r="B195" s="12"/>
      <c r="C195" s="12"/>
      <c r="D195" s="12"/>
      <c r="E195" s="12"/>
      <c r="F195" s="16"/>
      <c r="G195" s="16"/>
      <c r="H195" s="16"/>
      <c r="I195" s="16"/>
      <c r="J195" s="16"/>
      <c r="K195" s="3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21">
        <f>SUM(Tabela2[[#This Row],[VALOR DO SERVIÇO CONTRATADO]]+Tabela2[[#This Row],[VALOR]]+Tabela2[[#This Row],[VALOR2]]+Tabela2[[#This Row],[AJUDA DE CUSTO]])+Tabela2[[#This Row],[VALOR3]]</f>
        <v>0</v>
      </c>
      <c r="AB195" s="16"/>
      <c r="AC195" s="23"/>
      <c r="AD195" s="22"/>
      <c r="AE195" s="16"/>
      <c r="AF195" s="16"/>
      <c r="AG195" s="25"/>
    </row>
    <row r="196" spans="1:33" hidden="1">
      <c r="A196" s="50"/>
      <c r="B196" s="12"/>
      <c r="C196" s="12"/>
      <c r="D196" s="12"/>
      <c r="E196" s="12"/>
      <c r="F196" s="16"/>
      <c r="G196" s="16"/>
      <c r="H196" s="16"/>
      <c r="I196" s="16"/>
      <c r="J196" s="16"/>
      <c r="K196" s="3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21">
        <f>SUM(Tabela2[[#This Row],[VALOR DO SERVIÇO CONTRATADO]]+Tabela2[[#This Row],[VALOR]]+Tabela2[[#This Row],[VALOR2]]+Tabela2[[#This Row],[AJUDA DE CUSTO]])+Tabela2[[#This Row],[VALOR3]]</f>
        <v>0</v>
      </c>
      <c r="AB196" s="16"/>
      <c r="AC196" s="23"/>
      <c r="AD196" s="22"/>
      <c r="AE196" s="16"/>
      <c r="AF196" s="16"/>
      <c r="AG196" s="25"/>
    </row>
    <row r="197" spans="1:33" hidden="1">
      <c r="A197" s="50"/>
      <c r="B197" s="12"/>
      <c r="C197" s="12"/>
      <c r="D197" s="12"/>
      <c r="E197" s="12"/>
      <c r="F197" s="16"/>
      <c r="G197" s="16"/>
      <c r="H197" s="16"/>
      <c r="I197" s="16"/>
      <c r="J197" s="16"/>
      <c r="K197" s="3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21">
        <f>SUM(Tabela2[[#This Row],[VALOR DO SERVIÇO CONTRATADO]]+Tabela2[[#This Row],[VALOR]]+Tabela2[[#This Row],[VALOR2]]+Tabela2[[#This Row],[AJUDA DE CUSTO]])+Tabela2[[#This Row],[VALOR3]]</f>
        <v>0</v>
      </c>
      <c r="AB197" s="16"/>
      <c r="AC197" s="23"/>
      <c r="AD197" s="22"/>
      <c r="AE197" s="16"/>
      <c r="AF197" s="16"/>
      <c r="AG197" s="25"/>
    </row>
    <row r="198" spans="1:33" hidden="1">
      <c r="A198" s="50"/>
      <c r="B198" s="12"/>
      <c r="C198" s="12"/>
      <c r="D198" s="12"/>
      <c r="E198" s="1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21">
        <f>SUM(Tabela2[[#This Row],[VALOR DO SERVIÇO CONTRATADO]]+Tabela2[[#This Row],[VALOR]]+Tabela2[[#This Row],[VALOR2]]+Tabela2[[#This Row],[AJUDA DE CUSTO]])+Tabela2[[#This Row],[VALOR3]]</f>
        <v>0</v>
      </c>
      <c r="AB198" s="16"/>
      <c r="AC198" s="23"/>
      <c r="AD198" s="22"/>
      <c r="AE198" s="16"/>
      <c r="AF198" s="16"/>
      <c r="AG198" s="25"/>
    </row>
    <row r="199" spans="1:33" hidden="1">
      <c r="A199" s="50"/>
      <c r="B199" s="12"/>
      <c r="C199" s="12"/>
      <c r="D199" s="12"/>
      <c r="E199" s="1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21">
        <f>SUM(Tabela2[[#This Row],[VALOR DO SERVIÇO CONTRATADO]]+Tabela2[[#This Row],[VALOR]]+Tabela2[[#This Row],[VALOR2]]+Tabela2[[#This Row],[AJUDA DE CUSTO]])+Tabela2[[#This Row],[VALOR3]]</f>
        <v>0</v>
      </c>
      <c r="AB199" s="16"/>
      <c r="AC199" s="23"/>
      <c r="AD199" s="22"/>
      <c r="AE199" s="16"/>
      <c r="AF199" s="16"/>
      <c r="AG199" s="25"/>
    </row>
    <row r="200" spans="1:33" hidden="1">
      <c r="A200" s="50"/>
      <c r="B200" s="52"/>
      <c r="C200" s="12"/>
      <c r="D200" s="52"/>
      <c r="E200" s="52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40">
        <f>SUM(Tabela2[[#This Row],[VALOR DO SERVIÇO CONTRATADO]]+Tabela2[[#This Row],[VALOR]]+Tabela2[[#This Row],[VALOR2]]+Tabela2[[#This Row],[AJUDA DE CUSTO]])+Tabela2[[#This Row],[VALOR3]]</f>
        <v>0</v>
      </c>
      <c r="AB200" s="38"/>
      <c r="AC200" s="23"/>
      <c r="AD200" s="41"/>
      <c r="AE200" s="38"/>
      <c r="AF200" s="38"/>
      <c r="AG200" s="42"/>
    </row>
    <row r="201" spans="1:33" hidden="1">
      <c r="C201" s="12"/>
    </row>
    <row r="202" spans="1:33" ht="15.6" hidden="1" customHeight="1">
      <c r="B202" s="52"/>
      <c r="C202" s="12"/>
      <c r="D202" s="52"/>
      <c r="E202" s="52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40">
        <f>SUM(Tabela2[[#This Row],[VALOR DO SERVIÇO CONTRATADO]]+Tabela2[[#This Row],[VALOR]]+Tabela2[[#This Row],[VALOR2]]+Tabela2[[#This Row],[AJUDA DE CUSTO]])+Tabela2[[#This Row],[VALOR3]]</f>
        <v>0</v>
      </c>
      <c r="AB202" s="38"/>
      <c r="AC202" s="41"/>
      <c r="AD202" s="41"/>
      <c r="AE202" s="38"/>
      <c r="AF202" s="38"/>
      <c r="AG202" s="42"/>
    </row>
    <row r="203" spans="1:33" hidden="1">
      <c r="C203" s="12"/>
    </row>
    <row r="204" spans="1:33" hidden="1">
      <c r="B204" s="52"/>
      <c r="C204" s="52"/>
      <c r="D204" s="52"/>
      <c r="E204" s="52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40">
        <f>SUM(Tabela2[[#This Row],[VALOR DO SERVIÇO CONTRATADO]]+Tabela2[[#This Row],[VALOR]]+Tabela2[[#This Row],[VALOR2]]+Tabela2[[#This Row],[AJUDA DE CUSTO]])+Tabela2[[#This Row],[VALOR3]]</f>
        <v>0</v>
      </c>
      <c r="AB204" s="38"/>
      <c r="AC204" s="41"/>
      <c r="AD204" s="41"/>
      <c r="AE204" s="38"/>
      <c r="AF204" s="38"/>
      <c r="AG204" s="42"/>
    </row>
  </sheetData>
  <sheetProtection algorithmName="SHA-512" hashValue="zVcHT9X44sP3BliPSU9TUDiQH7w2Ic/E2ikxrM0pCHs1BEHk92Bg8T0qOlZAfiggj4/sPnOvSMfbqRrDV0glNA==" saltValue="KZOmxqjC621234banixsTA==" spinCount="100000" sheet="1" sort="0" autoFilter="0"/>
  <mergeCells count="1">
    <mergeCell ref="A1:AG4"/>
  </mergeCells>
  <dataValidations count="5">
    <dataValidation type="list" allowBlank="1" showInputMessage="1" showErrorMessage="1" sqref="AC24:AD28 AD31:AD33 AD36:AD38 AB6:AB200 AD40:AD63 AD68 AD70:AD171" xr:uid="{E67CE71B-ADBD-4883-A120-98B9A5E01B7D}">
      <formula1>"Sim,Não"</formula1>
    </dataValidation>
    <dataValidation type="list" allowBlank="1" showInputMessage="1" showErrorMessage="1" sqref="E6:E200" xr:uid="{7D5E257B-2D0D-4483-AFE7-4A9630B0FB91}">
      <formula1>"FEMININO,MASCULINO"</formula1>
    </dataValidation>
    <dataValidation type="list" allowBlank="1" showInputMessage="1" showErrorMessage="1" sqref="D6:D200" xr:uid="{FE7C0104-1D8C-4A45-8A82-9550D1FCDF68}">
      <formula1>"Ativo,Desativado"</formula1>
    </dataValidation>
    <dataValidation type="list" allowBlank="1" showInputMessage="1" showErrorMessage="1" sqref="C6:C64" xr:uid="{CAD9EAD0-33DD-4EC9-A715-2C3E7F209209}">
      <formula1>"AGIL,AGT,AGL"</formula1>
    </dataValidation>
    <dataValidation type="list" allowBlank="1" showInputMessage="1" showErrorMessage="1" sqref="C65:C203" xr:uid="{A80A4F22-0ACB-428D-992C-653227707F78}">
      <formula1>"AGIL,AGT,AGL,EVOQUE"</formula1>
    </dataValidation>
  </dataValidations>
  <hyperlinks>
    <hyperlink ref="L8" r:id="rId1" xr:uid="{7EC2340F-986B-4A15-8758-3E672642B632}"/>
    <hyperlink ref="L22" r:id="rId2" xr:uid="{9D4A9298-C99A-41AE-9F83-88ACBE0554C5}"/>
    <hyperlink ref="L15" r:id="rId3" xr:uid="{F15D6856-BD9D-41D9-951A-6E6E604D68DF}"/>
    <hyperlink ref="L30" r:id="rId4" xr:uid="{0E45A3B1-7C79-40B5-893B-056883C4BD92}"/>
    <hyperlink ref="L31" r:id="rId5" xr:uid="{AC2601B7-E6E9-4455-A16A-8313B15D1B54}"/>
    <hyperlink ref="L10" r:id="rId6" xr:uid="{2E30A086-4491-4487-BC70-38106BB4A058}"/>
    <hyperlink ref="L11" r:id="rId7" xr:uid="{F1FA639D-845E-44B0-9F60-CA9E0B6361C7}"/>
    <hyperlink ref="L26" r:id="rId8" xr:uid="{6BC9ACB5-DBD4-4D67-AF5E-857F651DD7AB}"/>
    <hyperlink ref="L19" r:id="rId9" xr:uid="{64B51B08-D7CE-4E74-B4F0-260E40556F92}"/>
    <hyperlink ref="L33" r:id="rId10" xr:uid="{25A0C5BB-BC34-4774-BF0B-6250F4A82CC9}"/>
    <hyperlink ref="L35" r:id="rId11" xr:uid="{BD10B39E-98ED-4045-AD59-586000896C17}"/>
    <hyperlink ref="K9" r:id="rId12" xr:uid="{501FF8D3-7C38-41DF-A0FF-1BB1A60E1F3B}"/>
    <hyperlink ref="K10" r:id="rId13" xr:uid="{3BADA908-AD67-4067-921A-F9D97BD189E1}"/>
    <hyperlink ref="K25" r:id="rId14" xr:uid="{43058D3A-4A01-4BB1-8F19-F9FE85A31C49}"/>
    <hyperlink ref="K11" r:id="rId15" xr:uid="{4F31BDEB-83A0-4981-B1E0-4B544F74F315}"/>
    <hyperlink ref="K12" r:id="rId16" xr:uid="{59FBE47E-47A7-45D6-A651-1FDD978BA9A3}"/>
    <hyperlink ref="K14" r:id="rId17" xr:uid="{2AE97072-8598-45EA-9122-952598626E65}"/>
    <hyperlink ref="K16" r:id="rId18" xr:uid="{B1DF634A-B963-48D9-ACB9-7FA955B548EC}"/>
    <hyperlink ref="K17" r:id="rId19" xr:uid="{813A2D60-70BD-4CFA-8FC5-8D8F326479D5}"/>
    <hyperlink ref="K18" r:id="rId20" xr:uid="{4090757F-8CC4-4028-879A-FEC7484C314A}"/>
    <hyperlink ref="K19" r:id="rId21" xr:uid="{7F5FFBFF-2C6F-4B0C-9321-42134A2DDD43}"/>
    <hyperlink ref="K24" r:id="rId22" xr:uid="{3EF2E62D-31E0-455A-955A-886E1A3E66BF}"/>
    <hyperlink ref="K35" r:id="rId23" xr:uid="{F0462EB6-981A-42DE-BC21-BAABF9A2D1B8}"/>
    <hyperlink ref="K20" r:id="rId24" xr:uid="{0B3E7163-375C-4F2B-9341-33091781DBB0}"/>
    <hyperlink ref="K34" r:id="rId25" xr:uid="{36F53A73-378E-4D1C-B719-5A7AAE9BB929}"/>
    <hyperlink ref="K33" r:id="rId26" xr:uid="{0CE53655-B560-4205-931D-DD35979DEFE5}"/>
    <hyperlink ref="K31" r:id="rId27" xr:uid="{4D522773-505D-4F5C-9663-106622D1F0FC}"/>
    <hyperlink ref="K22" r:id="rId28" xr:uid="{8B51CD08-FD1F-4546-BA01-4907C4DB1EB8}"/>
    <hyperlink ref="K23" r:id="rId29" xr:uid="{E7182BED-E057-428F-A5BF-6CBB36A46434}"/>
    <hyperlink ref="K15" r:id="rId30" xr:uid="{3342AD04-5A6C-4EA7-92E0-4267F38FA0FB}"/>
    <hyperlink ref="L36" r:id="rId31" xr:uid="{58C7ECD2-2837-410B-8C0F-215D41684FE6}"/>
    <hyperlink ref="K36" r:id="rId32" xr:uid="{A2B874B5-DDE1-46AB-ACCB-8E34BF0D51F5}"/>
    <hyperlink ref="K39" r:id="rId33" xr:uid="{5756CA9D-BFDA-49CF-AA9E-E7FFB6E0EB9D}"/>
    <hyperlink ref="L39" r:id="rId34" xr:uid="{DD2B532D-8E68-497C-8C82-E986C30AB51C}"/>
    <hyperlink ref="L40" r:id="rId35" xr:uid="{DC616AA0-C552-4EBE-A03B-5F2C3FE271B5}"/>
    <hyperlink ref="L42" r:id="rId36" xr:uid="{342E12AE-2F2E-43D4-AF6E-12590CED4ADC}"/>
    <hyperlink ref="L43" r:id="rId37" xr:uid="{D4E9E92E-4438-4D84-8655-94BF9B730BCC}"/>
    <hyperlink ref="L45" r:id="rId38" xr:uid="{ED083BA1-6BEF-4079-8068-7968BEEDDC71}"/>
    <hyperlink ref="L46" r:id="rId39" xr:uid="{C32A8BFC-5769-4BE1-9218-9423882C37E2}"/>
    <hyperlink ref="L47" r:id="rId40" xr:uid="{CA81D2B4-37CD-40C7-ADA9-84452AB89B3E}"/>
    <hyperlink ref="L48" r:id="rId41" xr:uid="{FAE776C7-979B-4589-847E-3EA2BD2296E6}"/>
    <hyperlink ref="L49" r:id="rId42" xr:uid="{4F4034EA-6A84-4951-B04D-1C0FB1485183}"/>
    <hyperlink ref="L52" r:id="rId43" xr:uid="{7652D51D-716B-4BAA-9E53-5AFFDFA2E1AD}"/>
    <hyperlink ref="K50" r:id="rId44" xr:uid="{082165CB-F538-4ACB-A59A-9170A5DFCA60}"/>
    <hyperlink ref="K51" r:id="rId45" xr:uid="{B60B1691-8745-474E-B9EE-EF266424F97E}"/>
    <hyperlink ref="L56" r:id="rId46" xr:uid="{15D01B67-FD6A-4056-9349-90A7270E5FB6}"/>
    <hyperlink ref="L57" r:id="rId47" xr:uid="{42A4A798-4AE5-4FB3-9FE5-6C155E7854A3}"/>
    <hyperlink ref="L58" r:id="rId48" xr:uid="{8772AE87-72EE-4AF0-9873-45FA20D6D8F8}"/>
    <hyperlink ref="L60" r:id="rId49" xr:uid="{930F3794-883E-4F92-A230-ABC44891D31E}"/>
    <hyperlink ref="L63" r:id="rId50" xr:uid="{CC9A834A-CBD4-4711-8AC0-82A80117FD4F}"/>
    <hyperlink ref="L64" r:id="rId51" xr:uid="{B29F8760-B2B6-4E16-8809-81DA87E11CD1}"/>
    <hyperlink ref="L66" r:id="rId52" xr:uid="{CD0EE8DF-B6BB-48B2-9FD6-6694FF3E97B4}"/>
    <hyperlink ref="L67" r:id="rId53" xr:uid="{E2431B93-350E-4DCF-A02F-AC8A4A137E2C}"/>
    <hyperlink ref="L69" r:id="rId54" xr:uid="{B778AFA7-BE49-46FB-A168-1AB58C2BD5CA}"/>
    <hyperlink ref="L70" r:id="rId55" xr:uid="{FA2718A8-D2BF-4910-B16D-E03483348791}"/>
    <hyperlink ref="K70" r:id="rId56" xr:uid="{753F0B4B-E558-409A-8ECE-0EA8FEDF4394}"/>
    <hyperlink ref="K69" r:id="rId57" xr:uid="{ED212092-67E3-45A4-90B1-93C0C525107A}"/>
    <hyperlink ref="K67" r:id="rId58" xr:uid="{7AC9B8BD-FF7D-4A86-BAC4-76B0016C2BE9}"/>
    <hyperlink ref="K71" r:id="rId59" xr:uid="{C1BE846D-9619-4984-9F88-6E9E2BB5D48B}"/>
    <hyperlink ref="L71" r:id="rId60" xr:uid="{A9F2000C-1F09-4575-8E1E-CDAAFF34AEBF}"/>
    <hyperlink ref="L72" r:id="rId61" xr:uid="{A9BB56F9-618A-45D6-AACB-FD25E036801A}"/>
    <hyperlink ref="L74" r:id="rId62" xr:uid="{EFF25938-7360-4951-BDE0-F50F884789CC}"/>
    <hyperlink ref="L73" r:id="rId63" xr:uid="{8494E323-A389-46AB-8D49-14164ED587C6}"/>
    <hyperlink ref="K74" r:id="rId64" xr:uid="{9AABCC19-8E0D-4ED3-9B45-F71A279406D2}"/>
    <hyperlink ref="K73" r:id="rId65" xr:uid="{E7EEA987-9179-45F4-8AAA-BDF36F174D56}"/>
  </hyperlinks>
  <pageMargins left="0.511811024" right="0.511811024" top="0.78740157499999996" bottom="0.78740157499999996" header="0.31496062000000002" footer="0.31496062000000002"/>
  <pageSetup orientation="portrait" horizontalDpi="360" verticalDpi="360" r:id="rId66"/>
  <drawing r:id="rId67"/>
  <tableParts count="1">
    <tablePart r:id="rId6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4AE2-300C-4E59-9808-DB75E55DCA1E}">
  <sheetPr>
    <tabColor rgb="FFFFC000"/>
  </sheetPr>
  <dimension ref="A1:KG175"/>
  <sheetViews>
    <sheetView tabSelected="1" workbookViewId="0">
      <pane xSplit="3" ySplit="5" topLeftCell="D35" activePane="bottomRight" state="frozen"/>
      <selection pane="bottomRight" activeCell="C48" sqref="C48"/>
      <selection pane="bottomLeft" activeCell="A6" sqref="A6"/>
      <selection pane="topRight" activeCell="D1" sqref="D1"/>
    </sheetView>
  </sheetViews>
  <sheetFormatPr defaultRowHeight="15"/>
  <cols>
    <col min="1" max="1" width="5.85546875" customWidth="1"/>
    <col min="3" max="3" width="36.28515625" bestFit="1" customWidth="1"/>
    <col min="4" max="5" width="13.140625" customWidth="1"/>
    <col min="6" max="6" width="16" customWidth="1"/>
    <col min="7" max="7" width="11.28515625" customWidth="1"/>
    <col min="8" max="8" width="14.28515625" bestFit="1" customWidth="1"/>
    <col min="9" max="9" width="14.28515625" customWidth="1"/>
    <col min="10" max="10" width="13.7109375" customWidth="1"/>
    <col min="11" max="11" width="36.28515625" bestFit="1" customWidth="1"/>
    <col min="12" max="12" width="37" bestFit="1" customWidth="1"/>
    <col min="13" max="13" width="88" bestFit="1" customWidth="1"/>
    <col min="14" max="14" width="14" customWidth="1"/>
    <col min="15" max="15" width="14.140625" customWidth="1"/>
    <col min="16" max="16" width="15.140625" customWidth="1"/>
    <col min="17" max="17" width="72.140625" customWidth="1"/>
    <col min="18" max="18" width="14.140625" customWidth="1"/>
    <col min="19" max="19" width="12.85546875" customWidth="1"/>
    <col min="20" max="20" width="13.140625" bestFit="1" customWidth="1"/>
    <col min="21" max="22" width="13.28515625" customWidth="1"/>
    <col min="23" max="23" width="17" customWidth="1"/>
    <col min="24" max="24" width="13.28515625" customWidth="1"/>
    <col min="25" max="25" width="12.85546875" customWidth="1"/>
    <col min="26" max="26" width="14.140625" customWidth="1"/>
    <col min="27" max="27" width="16.140625" customWidth="1"/>
    <col min="28" max="28" width="14.42578125" customWidth="1"/>
    <col min="29" max="29" width="13.5703125" customWidth="1"/>
    <col min="30" max="30" width="20.5703125" customWidth="1"/>
    <col min="31" max="31" width="35.7109375" bestFit="1" customWidth="1"/>
    <col min="32" max="32" width="40.140625" customWidth="1"/>
    <col min="33" max="33" width="57.7109375" bestFit="1" customWidth="1"/>
    <col min="34" max="34" width="19" bestFit="1" customWidth="1"/>
    <col min="35" max="35" width="20.140625" bestFit="1" customWidth="1"/>
  </cols>
  <sheetData>
    <row r="1" spans="1:35" s="223" customFormat="1" ht="14.45" customHeight="1">
      <c r="A1" s="223" t="s">
        <v>540</v>
      </c>
    </row>
    <row r="2" spans="1:35" s="223" customFormat="1" ht="14.45" customHeight="1"/>
    <row r="3" spans="1:35" s="223" customFormat="1" ht="14.45" customHeight="1"/>
    <row r="4" spans="1:35" s="223" customFormat="1" ht="14.45" customHeight="1"/>
    <row r="5" spans="1:35" s="129" customFormat="1" ht="30">
      <c r="A5" s="1" t="s">
        <v>1</v>
      </c>
      <c r="B5" s="1" t="s">
        <v>541</v>
      </c>
      <c r="C5" s="2" t="s">
        <v>2</v>
      </c>
      <c r="D5" s="2" t="s">
        <v>542</v>
      </c>
      <c r="E5" s="2" t="s">
        <v>4</v>
      </c>
      <c r="F5" s="3" t="s">
        <v>543</v>
      </c>
      <c r="G5" s="3" t="s">
        <v>544</v>
      </c>
      <c r="H5" s="3" t="s">
        <v>8</v>
      </c>
      <c r="I5" s="3" t="s">
        <v>10</v>
      </c>
      <c r="J5" s="3" t="s">
        <v>5</v>
      </c>
      <c r="K5" s="4" t="s">
        <v>545</v>
      </c>
      <c r="L5" s="4" t="s">
        <v>11</v>
      </c>
      <c r="M5" s="4" t="s">
        <v>15</v>
      </c>
      <c r="N5" s="3" t="s">
        <v>16</v>
      </c>
      <c r="O5" s="3" t="s">
        <v>546</v>
      </c>
      <c r="P5" s="3" t="s">
        <v>547</v>
      </c>
      <c r="Q5" s="3" t="s">
        <v>17</v>
      </c>
      <c r="R5" s="3" t="s">
        <v>548</v>
      </c>
      <c r="S5" s="3" t="s">
        <v>549</v>
      </c>
      <c r="T5" s="3" t="s">
        <v>550</v>
      </c>
      <c r="U5" s="3" t="s">
        <v>551</v>
      </c>
      <c r="V5" s="3" t="s">
        <v>552</v>
      </c>
      <c r="W5" s="3" t="s">
        <v>553</v>
      </c>
      <c r="X5" s="3" t="s">
        <v>554</v>
      </c>
      <c r="Y5" s="3" t="s">
        <v>555</v>
      </c>
      <c r="Z5" s="3" t="s">
        <v>556</v>
      </c>
      <c r="AA5" s="3" t="s">
        <v>557</v>
      </c>
      <c r="AB5" s="3" t="s">
        <v>558</v>
      </c>
      <c r="AC5" s="3" t="s">
        <v>559</v>
      </c>
      <c r="AD5" s="3" t="s">
        <v>26</v>
      </c>
      <c r="AE5" s="3" t="s">
        <v>560</v>
      </c>
      <c r="AF5" s="3" t="s">
        <v>561</v>
      </c>
      <c r="AG5" s="3" t="s">
        <v>562</v>
      </c>
      <c r="AH5" s="5" t="s">
        <v>563</v>
      </c>
      <c r="AI5" s="114" t="s">
        <v>564</v>
      </c>
    </row>
    <row r="6" spans="1:35" s="184" customFormat="1" ht="15" hidden="1" customHeight="1">
      <c r="A6" s="196">
        <v>1</v>
      </c>
      <c r="B6" s="196">
        <v>99</v>
      </c>
      <c r="C6" s="173" t="s">
        <v>565</v>
      </c>
      <c r="D6" s="173" t="s">
        <v>109</v>
      </c>
      <c r="E6" s="173" t="s">
        <v>566</v>
      </c>
      <c r="F6" s="186">
        <v>45474</v>
      </c>
      <c r="G6" s="173"/>
      <c r="H6" s="173"/>
      <c r="I6" s="173"/>
      <c r="J6" s="173" t="s">
        <v>58</v>
      </c>
      <c r="K6" s="173"/>
      <c r="L6" s="173"/>
      <c r="M6" s="173"/>
      <c r="N6" s="186">
        <v>21585</v>
      </c>
      <c r="O6" s="186" t="s">
        <v>567</v>
      </c>
      <c r="P6" s="186" t="s">
        <v>568</v>
      </c>
      <c r="Q6" s="173"/>
      <c r="R6" s="180">
        <v>0</v>
      </c>
      <c r="S6" s="180">
        <v>3954</v>
      </c>
      <c r="T6" s="180">
        <f>Tabela22[[#This Row],[ÚLTIMO SALÁRIO]]+Tabela22[[#This Row],[Dissídio 2025 5,20%]]</f>
        <v>4125.21</v>
      </c>
      <c r="U6" s="188"/>
      <c r="V6" s="173"/>
      <c r="W6" s="188"/>
      <c r="X6" s="173"/>
      <c r="Y6" s="188"/>
      <c r="Z6" s="180">
        <v>171.21</v>
      </c>
      <c r="AA6" s="180">
        <f>Tabela22[[#This Row],[ÚLTIMO SALÁRIO]]*4.1%</f>
        <v>162.11399999999998</v>
      </c>
      <c r="AB6" s="180"/>
      <c r="AC6" s="180"/>
      <c r="AD6" s="180"/>
      <c r="AE6" s="188">
        <f>Tabela22[[#This Row],[SALÁRIO ATUAL]]+Tabela22[[#This Row],[COMPLEMENTO SALARIAL]]+Tabela22[[#This Row],[AJUDA DE CUSTO]]</f>
        <v>4125.21</v>
      </c>
      <c r="AF6" s="173" t="s">
        <v>569</v>
      </c>
      <c r="AG6" s="173" t="s">
        <v>570</v>
      </c>
      <c r="AH6" s="173"/>
      <c r="AI6" s="173" t="s">
        <v>75</v>
      </c>
    </row>
    <row r="7" spans="1:35" ht="15" hidden="1" customHeight="1">
      <c r="A7" s="115">
        <v>2</v>
      </c>
      <c r="B7" s="116">
        <v>104</v>
      </c>
      <c r="C7" s="16" t="s">
        <v>571</v>
      </c>
      <c r="D7" s="16" t="s">
        <v>109</v>
      </c>
      <c r="E7" s="16" t="s">
        <v>572</v>
      </c>
      <c r="F7" s="14">
        <v>44743</v>
      </c>
      <c r="G7" s="16"/>
      <c r="H7" s="16"/>
      <c r="I7" s="16">
        <v>1007</v>
      </c>
      <c r="J7" s="16" t="s">
        <v>58</v>
      </c>
      <c r="K7" s="79"/>
      <c r="L7" s="79" t="s">
        <v>573</v>
      </c>
      <c r="M7" s="16"/>
      <c r="N7" s="14">
        <v>27864</v>
      </c>
      <c r="O7" s="33"/>
      <c r="P7" s="14"/>
      <c r="Q7" s="16"/>
      <c r="R7" s="19">
        <v>1412</v>
      </c>
      <c r="S7" s="19">
        <v>1518</v>
      </c>
      <c r="T7" s="19">
        <v>1621</v>
      </c>
      <c r="U7" s="21"/>
      <c r="V7" s="16"/>
      <c r="W7" s="21"/>
      <c r="X7" s="16"/>
      <c r="Y7" s="21"/>
      <c r="Z7" s="19">
        <v>106</v>
      </c>
      <c r="AA7" s="19">
        <f>Tabela22[[#This Row],[ÚLTIMO SALÁRIO]]*4.1%</f>
        <v>62.237999999999992</v>
      </c>
      <c r="AB7" s="19"/>
      <c r="AC7" s="19"/>
      <c r="AD7" s="19"/>
      <c r="AE7" s="21">
        <f>Tabela22[[#This Row],[SALÁRIO ATUAL]]+Tabela22[[#This Row],[COMPLEMENTO SALARIAL]]+Tabela22[[#This Row],[AJUDA DE CUSTO]]</f>
        <v>1621</v>
      </c>
      <c r="AF7" s="27" t="s">
        <v>574</v>
      </c>
      <c r="AG7" s="16" t="s">
        <v>575</v>
      </c>
      <c r="AH7" s="16"/>
      <c r="AI7" s="16" t="s">
        <v>75</v>
      </c>
    </row>
    <row r="8" spans="1:35" ht="14.45" hidden="1" customHeight="1">
      <c r="A8" s="194">
        <v>3</v>
      </c>
      <c r="B8" s="194">
        <v>125</v>
      </c>
      <c r="C8" s="173" t="s">
        <v>576</v>
      </c>
      <c r="D8" s="58" t="s">
        <v>109</v>
      </c>
      <c r="E8" s="58" t="s">
        <v>566</v>
      </c>
      <c r="F8" s="56">
        <v>45839</v>
      </c>
      <c r="G8" s="56">
        <v>45855</v>
      </c>
      <c r="H8" s="58" t="s">
        <v>577</v>
      </c>
      <c r="I8" s="58"/>
      <c r="J8" s="58" t="s">
        <v>37</v>
      </c>
      <c r="K8" s="83" t="s">
        <v>578</v>
      </c>
      <c r="L8" s="58"/>
      <c r="M8" s="58" t="s">
        <v>579</v>
      </c>
      <c r="N8" s="56">
        <v>32685</v>
      </c>
      <c r="O8" s="58" t="s">
        <v>580</v>
      </c>
      <c r="P8" s="58" t="s">
        <v>581</v>
      </c>
      <c r="Q8" s="58" t="s">
        <v>582</v>
      </c>
      <c r="R8" s="61"/>
      <c r="S8" s="61"/>
      <c r="T8" s="61">
        <v>2800</v>
      </c>
      <c r="U8" s="62"/>
      <c r="V8" s="58"/>
      <c r="W8" s="62"/>
      <c r="X8" s="58"/>
      <c r="Y8" s="62"/>
      <c r="Z8" s="58"/>
      <c r="AA8" s="62">
        <f>Tabela22[[#This Row],[ÚLTIMO SALÁRIO]]*4.1%</f>
        <v>0</v>
      </c>
      <c r="AB8" s="61"/>
      <c r="AC8" s="61"/>
      <c r="AD8" s="61"/>
      <c r="AE8" s="62">
        <f>Tabela22[[#This Row],[SALÁRIO ATUAL]]+Tabela22[[#This Row],[COMPLEMENTO SALARIAL]]+Tabela22[[#This Row],[AJUDA DE CUSTO]]</f>
        <v>2800</v>
      </c>
      <c r="AF8" s="58" t="s">
        <v>569</v>
      </c>
      <c r="AG8" s="58" t="s">
        <v>583</v>
      </c>
      <c r="AH8" s="58"/>
      <c r="AI8" s="58" t="s">
        <v>75</v>
      </c>
    </row>
    <row r="9" spans="1:35" hidden="1">
      <c r="A9" s="115">
        <v>4</v>
      </c>
      <c r="B9" s="116">
        <v>128</v>
      </c>
      <c r="C9" s="16" t="s">
        <v>584</v>
      </c>
      <c r="D9" s="16" t="s">
        <v>35</v>
      </c>
      <c r="E9" s="16" t="s">
        <v>572</v>
      </c>
      <c r="F9" s="14">
        <v>44848</v>
      </c>
      <c r="G9" s="14"/>
      <c r="H9" s="16" t="s">
        <v>585</v>
      </c>
      <c r="I9" s="16">
        <v>1023</v>
      </c>
      <c r="J9" s="16" t="s">
        <v>37</v>
      </c>
      <c r="K9" s="17" t="s">
        <v>586</v>
      </c>
      <c r="L9" s="79" t="s">
        <v>587</v>
      </c>
      <c r="M9" s="16" t="s">
        <v>588</v>
      </c>
      <c r="N9" s="14">
        <v>37207</v>
      </c>
      <c r="O9" s="33" t="s">
        <v>589</v>
      </c>
      <c r="P9" s="14" t="s">
        <v>590</v>
      </c>
      <c r="Q9" s="16"/>
      <c r="R9" s="19">
        <v>2589.6999999999998</v>
      </c>
      <c r="S9" s="19">
        <v>2724.36</v>
      </c>
      <c r="T9" s="19">
        <f>Tabela22[[#This Row],[ÚLTIMO SALÁRIO]]*4.1%+Tabela22[[#This Row],[ÚLTIMO SALÁRIO]]</f>
        <v>2836.0587599999999</v>
      </c>
      <c r="U9" s="21">
        <v>200</v>
      </c>
      <c r="V9" s="14">
        <v>45659</v>
      </c>
      <c r="W9" s="21"/>
      <c r="X9" s="14"/>
      <c r="Y9" s="21"/>
      <c r="Z9" s="19">
        <v>134.66</v>
      </c>
      <c r="AA9" s="19">
        <f>Tabela22[[#This Row],[ÚLTIMO SALÁRIO]]*4.1%</f>
        <v>111.69875999999999</v>
      </c>
      <c r="AB9" s="16"/>
      <c r="AC9" s="16"/>
      <c r="AD9" s="19">
        <v>200</v>
      </c>
      <c r="AE9" s="21">
        <f>Tabela22[[#This Row],[SALÁRIO ATUAL]]+Tabela22[[#This Row],[COMPLEMENTO SALARIAL]]+Tabela22[[#This Row],[AJUDA DE CUSTO]]</f>
        <v>3036.0587599999999</v>
      </c>
      <c r="AF9" s="27" t="s">
        <v>591</v>
      </c>
      <c r="AG9" s="16" t="s">
        <v>592</v>
      </c>
      <c r="AH9" s="16"/>
      <c r="AI9" s="16" t="s">
        <v>75</v>
      </c>
    </row>
    <row r="10" spans="1:35" hidden="1">
      <c r="A10" s="115">
        <v>5</v>
      </c>
      <c r="B10" s="115">
        <v>133</v>
      </c>
      <c r="C10" s="16" t="s">
        <v>593</v>
      </c>
      <c r="D10" s="16" t="s">
        <v>109</v>
      </c>
      <c r="E10" s="16" t="s">
        <v>572</v>
      </c>
      <c r="F10" s="14">
        <v>45861</v>
      </c>
      <c r="G10" s="16"/>
      <c r="H10" s="16" t="s">
        <v>594</v>
      </c>
      <c r="I10" s="16"/>
      <c r="J10" s="16" t="s">
        <v>37</v>
      </c>
      <c r="K10" s="17" t="s">
        <v>595</v>
      </c>
      <c r="L10" s="17" t="s">
        <v>596</v>
      </c>
      <c r="M10" s="16" t="s">
        <v>597</v>
      </c>
      <c r="N10" s="14">
        <v>36785</v>
      </c>
      <c r="O10" s="16" t="s">
        <v>598</v>
      </c>
      <c r="P10" s="16" t="s">
        <v>599</v>
      </c>
      <c r="Q10" s="16" t="s">
        <v>600</v>
      </c>
      <c r="R10" s="19"/>
      <c r="S10" s="19">
        <v>2100</v>
      </c>
      <c r="T10" s="19">
        <f>Tabela22[[#This Row],[ÚLTIMO SALÁRIO]]*4.1%+Tabela22[[#This Row],[ÚLTIMO SALÁRIO]]</f>
        <v>2186.1</v>
      </c>
      <c r="U10" s="21"/>
      <c r="V10" s="16"/>
      <c r="W10" s="21"/>
      <c r="X10" s="16"/>
      <c r="Y10" s="21"/>
      <c r="Z10" s="16"/>
      <c r="AA10" s="21">
        <f>Tabela22[[#This Row],[ÚLTIMO SALÁRIO]]*4.1%</f>
        <v>86.1</v>
      </c>
      <c r="AB10" s="19"/>
      <c r="AC10" s="19"/>
      <c r="AD10" s="19"/>
      <c r="AE10" s="21">
        <f>Tabela22[[#This Row],[SALÁRIO ATUAL]]+Tabela22[[#This Row],[COMPLEMENTO SALARIAL]]+Tabela22[[#This Row],[AJUDA DE CUSTO]]</f>
        <v>2186.1</v>
      </c>
      <c r="AF10" s="16" t="s">
        <v>601</v>
      </c>
      <c r="AG10" t="s">
        <v>602</v>
      </c>
      <c r="AH10" s="16"/>
      <c r="AI10" s="16" t="s">
        <v>75</v>
      </c>
    </row>
    <row r="11" spans="1:35" s="35" customFormat="1" hidden="1">
      <c r="A11" s="192">
        <v>6</v>
      </c>
      <c r="B11" s="193">
        <v>136</v>
      </c>
      <c r="C11" s="16" t="s">
        <v>603</v>
      </c>
      <c r="D11" s="16" t="s">
        <v>109</v>
      </c>
      <c r="E11" s="16" t="s">
        <v>572</v>
      </c>
      <c r="F11" s="14">
        <v>45614</v>
      </c>
      <c r="G11" s="16"/>
      <c r="H11" s="16" t="s">
        <v>604</v>
      </c>
      <c r="I11" s="16"/>
      <c r="J11" s="16" t="s">
        <v>58</v>
      </c>
      <c r="K11" s="122" t="s">
        <v>605</v>
      </c>
      <c r="L11" s="81" t="s">
        <v>606</v>
      </c>
      <c r="M11" s="123" t="s">
        <v>607</v>
      </c>
      <c r="N11" s="124">
        <v>35831</v>
      </c>
      <c r="O11" s="199" t="s">
        <v>608</v>
      </c>
      <c r="P11" s="199" t="s">
        <v>609</v>
      </c>
      <c r="Q11" s="123" t="s">
        <v>610</v>
      </c>
      <c r="R11" s="19">
        <v>1850</v>
      </c>
      <c r="S11" s="19">
        <v>1946.2</v>
      </c>
      <c r="T11" s="19">
        <f>Tabela22[[#This Row],[ÚLTIMO SALÁRIO]]*4.1%+Tabela22[[#This Row],[ÚLTIMO SALÁRIO]]+Tabela22[[#This Row],[AUMENTO ESPONTÂNEO]]</f>
        <v>2200.0042000000003</v>
      </c>
      <c r="U11" s="21">
        <v>174.01</v>
      </c>
      <c r="V11" s="14">
        <v>46156</v>
      </c>
      <c r="W11" s="21"/>
      <c r="X11" s="16"/>
      <c r="Y11" s="21"/>
      <c r="Z11" s="19">
        <v>96.2</v>
      </c>
      <c r="AA11" s="19">
        <f>Tabela22[[#This Row],[ÚLTIMO SALÁRIO]]*4.1%</f>
        <v>79.794199999999989</v>
      </c>
      <c r="AB11" s="19"/>
      <c r="AC11" s="19"/>
      <c r="AD11" s="19">
        <v>250</v>
      </c>
      <c r="AE11" s="21">
        <f>Tabela22[[#This Row],[SALÁRIO ATUAL]]+Tabela22[[#This Row],[COMPLEMENTO SALARIAL]]+Tabela22[[#This Row],[AJUDA DE CUSTO]]</f>
        <v>2450.0042000000003</v>
      </c>
      <c r="AF11" s="16" t="s">
        <v>611</v>
      </c>
      <c r="AG11" s="16" t="s">
        <v>612</v>
      </c>
      <c r="AH11" s="16" t="s">
        <v>613</v>
      </c>
      <c r="AI11" s="16" t="s">
        <v>75</v>
      </c>
    </row>
    <row r="12" spans="1:35">
      <c r="A12" s="115">
        <v>7</v>
      </c>
      <c r="B12" s="116">
        <v>146</v>
      </c>
      <c r="C12" s="16" t="s">
        <v>614</v>
      </c>
      <c r="D12" s="16" t="s">
        <v>35</v>
      </c>
      <c r="E12" s="16" t="s">
        <v>572</v>
      </c>
      <c r="F12" s="14">
        <v>44610</v>
      </c>
      <c r="G12" s="14"/>
      <c r="H12" s="16" t="s">
        <v>615</v>
      </c>
      <c r="I12" s="16">
        <v>1042</v>
      </c>
      <c r="J12" s="16" t="s">
        <v>37</v>
      </c>
      <c r="K12" s="79" t="s">
        <v>616</v>
      </c>
      <c r="L12" s="79" t="s">
        <v>617</v>
      </c>
      <c r="M12" s="16" t="s">
        <v>618</v>
      </c>
      <c r="N12" s="14">
        <v>32231</v>
      </c>
      <c r="O12" s="33" t="s">
        <v>619</v>
      </c>
      <c r="P12" s="16" t="s">
        <v>620</v>
      </c>
      <c r="Q12" s="16" t="s">
        <v>621</v>
      </c>
      <c r="R12" s="19">
        <v>2797.5</v>
      </c>
      <c r="S12" s="19">
        <v>2942.97</v>
      </c>
      <c r="T12" s="19">
        <f>Tabela22[[#This Row],[ÚLTIMO SALÁRIO]]*4.1%+Tabela22[[#This Row],[ÚLTIMO SALÁRIO]]+Tabela22[[#This Row],[Aumento espontãneo 2]]</f>
        <v>3250.0017699999999</v>
      </c>
      <c r="U12" s="21">
        <v>200</v>
      </c>
      <c r="V12" s="14">
        <v>45659</v>
      </c>
      <c r="W12" s="21">
        <v>186.37</v>
      </c>
      <c r="X12" s="14">
        <v>46156</v>
      </c>
      <c r="Y12" s="21"/>
      <c r="Z12" s="19">
        <v>145.47</v>
      </c>
      <c r="AA12" s="19">
        <f>Tabela22[[#This Row],[ÚLTIMO SALÁRIO]]*4.1%</f>
        <v>120.66176999999998</v>
      </c>
      <c r="AB12" s="19"/>
      <c r="AC12" s="19"/>
      <c r="AD12" s="19">
        <v>200</v>
      </c>
      <c r="AE12" s="21">
        <f>Tabela22[[#This Row],[SALÁRIO ATUAL]]+Tabela22[[#This Row],[COMPLEMENTO SALARIAL]]+Tabela22[[#This Row],[AJUDA DE CUSTO]]</f>
        <v>3450.0017699999999</v>
      </c>
      <c r="AF12" s="27" t="s">
        <v>591</v>
      </c>
      <c r="AG12" s="16" t="s">
        <v>622</v>
      </c>
      <c r="AH12" s="16"/>
      <c r="AI12" s="16" t="s">
        <v>75</v>
      </c>
    </row>
    <row r="13" spans="1:35" s="100" customFormat="1" hidden="1">
      <c r="A13" s="53">
        <v>8</v>
      </c>
      <c r="B13" s="53">
        <v>110</v>
      </c>
      <c r="C13" s="58" t="s">
        <v>623</v>
      </c>
      <c r="D13" s="58" t="s">
        <v>35</v>
      </c>
      <c r="E13" s="58" t="s">
        <v>566</v>
      </c>
      <c r="F13" s="56">
        <v>45798</v>
      </c>
      <c r="G13" s="58"/>
      <c r="H13" s="58" t="s">
        <v>624</v>
      </c>
      <c r="I13" s="58"/>
      <c r="J13" s="58" t="s">
        <v>37</v>
      </c>
      <c r="K13" s="65" t="s">
        <v>625</v>
      </c>
      <c r="L13" s="58"/>
      <c r="M13" s="99" t="s">
        <v>626</v>
      </c>
      <c r="N13" s="56">
        <v>31860</v>
      </c>
      <c r="O13" s="58" t="s">
        <v>627</v>
      </c>
      <c r="P13" s="58" t="s">
        <v>628</v>
      </c>
      <c r="Q13" s="58" t="s">
        <v>629</v>
      </c>
      <c r="R13" s="61"/>
      <c r="S13" s="61"/>
      <c r="T13" s="61">
        <v>1700</v>
      </c>
      <c r="U13" s="62"/>
      <c r="V13" s="58"/>
      <c r="W13" s="62"/>
      <c r="X13" s="58"/>
      <c r="Y13" s="62"/>
      <c r="Z13" s="58"/>
      <c r="AA13" s="62">
        <f>Tabela22[[#This Row],[ÚLTIMO SALÁRIO]]*4.1%</f>
        <v>0</v>
      </c>
      <c r="AB13" s="61"/>
      <c r="AC13" s="61"/>
      <c r="AD13" s="61">
        <v>300</v>
      </c>
      <c r="AE13" s="62">
        <f>Tabela22[[#This Row],[SALÁRIO ATUAL]]+Tabela22[[#This Row],[COMPLEMENTO SALARIAL]]+Tabela22[[#This Row],[AJUDA DE CUSTO]]</f>
        <v>2000</v>
      </c>
      <c r="AF13" s="58" t="s">
        <v>630</v>
      </c>
      <c r="AG13" s="58" t="s">
        <v>631</v>
      </c>
      <c r="AH13" s="58"/>
      <c r="AI13" s="58" t="s">
        <v>75</v>
      </c>
    </row>
    <row r="14" spans="1:35" hidden="1">
      <c r="A14" s="115">
        <v>9</v>
      </c>
      <c r="B14" s="116">
        <v>900000</v>
      </c>
      <c r="C14" s="16" t="s">
        <v>632</v>
      </c>
      <c r="D14" s="16" t="s">
        <v>35</v>
      </c>
      <c r="E14" s="16" t="s">
        <v>572</v>
      </c>
      <c r="F14" s="14">
        <v>42401</v>
      </c>
      <c r="G14" s="14"/>
      <c r="H14" s="16" t="s">
        <v>633</v>
      </c>
      <c r="I14" s="16">
        <v>1001</v>
      </c>
      <c r="J14" s="16" t="s">
        <v>58</v>
      </c>
      <c r="K14" s="36" t="s">
        <v>634</v>
      </c>
      <c r="L14" s="79" t="s">
        <v>635</v>
      </c>
      <c r="M14" s="16"/>
      <c r="N14" s="14">
        <v>32060</v>
      </c>
      <c r="O14" s="33" t="s">
        <v>636</v>
      </c>
      <c r="P14" s="14" t="s">
        <v>637</v>
      </c>
      <c r="Q14" s="16"/>
      <c r="R14" s="19">
        <v>2654.12</v>
      </c>
      <c r="S14" s="19">
        <v>2792.13</v>
      </c>
      <c r="T14" s="19">
        <f>Tabela22[[#This Row],[ÚLTIMO SALÁRIO]]*4.1%+Tabela22[[#This Row],[ÚLTIMO SALÁRIO]]</f>
        <v>2906.6073300000003</v>
      </c>
      <c r="U14" s="21"/>
      <c r="V14" s="16"/>
      <c r="W14" s="21"/>
      <c r="X14" s="16"/>
      <c r="Y14" s="21"/>
      <c r="Z14" s="19">
        <v>138.01</v>
      </c>
      <c r="AA14" s="19">
        <f>Tabela22[[#This Row],[ÚLTIMO SALÁRIO]]*4.1%</f>
        <v>114.47732999999999</v>
      </c>
      <c r="AB14" s="19">
        <f xml:space="preserve"> SUM(1300+345.88)</f>
        <v>1645.88</v>
      </c>
      <c r="AC14" s="19"/>
      <c r="AD14" s="19"/>
      <c r="AE14" s="21">
        <f>Tabela22[[#This Row],[SALÁRIO ATUAL]]+Tabela22[[#This Row],[COMPLEMENTO SALARIAL]]+Tabela22[[#This Row],[AJUDA DE CUSTO]]</f>
        <v>4552.4873299999999</v>
      </c>
      <c r="AF14" s="16" t="s">
        <v>601</v>
      </c>
      <c r="AG14" s="16" t="s">
        <v>638</v>
      </c>
      <c r="AH14" s="16"/>
      <c r="AI14" s="16" t="s">
        <v>75</v>
      </c>
    </row>
    <row r="15" spans="1:35" ht="30" hidden="1" customHeight="1">
      <c r="A15" s="195">
        <v>10</v>
      </c>
      <c r="B15" s="195">
        <v>116</v>
      </c>
      <c r="C15" s="58" t="s">
        <v>639</v>
      </c>
      <c r="D15" s="58" t="s">
        <v>35</v>
      </c>
      <c r="E15" s="58" t="s">
        <v>566</v>
      </c>
      <c r="F15" s="56">
        <v>45726</v>
      </c>
      <c r="G15" s="58" t="s">
        <v>640</v>
      </c>
      <c r="H15" s="58" t="s">
        <v>641</v>
      </c>
      <c r="I15" s="58"/>
      <c r="J15" s="58" t="s">
        <v>37</v>
      </c>
      <c r="K15" s="65" t="s">
        <v>642</v>
      </c>
      <c r="L15" s="58"/>
      <c r="M15" s="58" t="s">
        <v>643</v>
      </c>
      <c r="N15" s="56">
        <v>33156</v>
      </c>
      <c r="O15" s="58" t="s">
        <v>644</v>
      </c>
      <c r="P15" s="58" t="s">
        <v>645</v>
      </c>
      <c r="Q15" s="99" t="s">
        <v>646</v>
      </c>
      <c r="R15" s="61"/>
      <c r="S15" s="61"/>
      <c r="T15" s="61">
        <v>2400</v>
      </c>
      <c r="U15" s="62"/>
      <c r="V15" s="58"/>
      <c r="W15" s="62"/>
      <c r="X15" s="58"/>
      <c r="Y15" s="62"/>
      <c r="Z15" s="58"/>
      <c r="AA15" s="62">
        <f>Tabela22[[#This Row],[ÚLTIMO SALÁRIO]]*4.1%</f>
        <v>0</v>
      </c>
      <c r="AB15" s="61"/>
      <c r="AC15" s="61"/>
      <c r="AD15" s="61"/>
      <c r="AE15" s="62">
        <f>Tabela22[[#This Row],[SALÁRIO ATUAL]]+Tabela22[[#This Row],[COMPLEMENTO SALARIAL]]+Tabela22[[#This Row],[AJUDA DE CUSTO]]</f>
        <v>2400</v>
      </c>
      <c r="AF15" s="58" t="s">
        <v>569</v>
      </c>
      <c r="AG15" s="58" t="s">
        <v>647</v>
      </c>
      <c r="AH15" s="58"/>
      <c r="AI15" s="58" t="s">
        <v>75</v>
      </c>
    </row>
    <row r="16" spans="1:35" hidden="1">
      <c r="A16" s="115">
        <v>11</v>
      </c>
      <c r="B16" s="116">
        <v>117</v>
      </c>
      <c r="C16" s="16" t="s">
        <v>648</v>
      </c>
      <c r="D16" s="16" t="s">
        <v>35</v>
      </c>
      <c r="E16" s="16" t="s">
        <v>572</v>
      </c>
      <c r="F16" s="14">
        <v>45601</v>
      </c>
      <c r="G16" s="16"/>
      <c r="H16" s="16" t="s">
        <v>649</v>
      </c>
      <c r="I16" s="16"/>
      <c r="J16" s="16" t="s">
        <v>37</v>
      </c>
      <c r="K16" s="36" t="s">
        <v>650</v>
      </c>
      <c r="L16" s="79" t="s">
        <v>651</v>
      </c>
      <c r="M16" s="16" t="s">
        <v>652</v>
      </c>
      <c r="N16" s="14">
        <v>29527</v>
      </c>
      <c r="O16" s="14" t="s">
        <v>653</v>
      </c>
      <c r="P16" s="14" t="s">
        <v>654</v>
      </c>
      <c r="Q16" s="16" t="s">
        <v>655</v>
      </c>
      <c r="R16" s="19">
        <v>2100</v>
      </c>
      <c r="S16" s="19">
        <v>2154.6</v>
      </c>
      <c r="T16" s="19">
        <f>Tabela22[[#This Row],[ÚLTIMO SALÁRIO]]*4.1%+Tabela22[[#This Row],[ÚLTIMO SALÁRIO]]</f>
        <v>2242.9386</v>
      </c>
      <c r="U16" s="21"/>
      <c r="V16" s="16"/>
      <c r="W16" s="21"/>
      <c r="X16" s="16"/>
      <c r="Y16" s="21"/>
      <c r="Z16" s="19">
        <v>54.6</v>
      </c>
      <c r="AA16" s="19">
        <f>Tabela22[[#This Row],[ÚLTIMO SALÁRIO]]*4.1%</f>
        <v>88.338599999999985</v>
      </c>
      <c r="AB16" s="19"/>
      <c r="AC16" s="19">
        <v>222.75</v>
      </c>
      <c r="AD16" s="19">
        <v>351.23</v>
      </c>
      <c r="AE16" s="21">
        <f>Tabela22[[#This Row],[SALÁRIO ATUAL]]+Tabela22[[#This Row],[COMPLEMENTO SALARIAL]]+Tabela22[[#This Row],[AJUDA DE CUSTO]]</f>
        <v>2594.1686</v>
      </c>
      <c r="AF16" s="16" t="s">
        <v>591</v>
      </c>
      <c r="AG16" s="16" t="s">
        <v>656</v>
      </c>
      <c r="AH16" s="16"/>
      <c r="AI16" s="16" t="s">
        <v>75</v>
      </c>
    </row>
    <row r="17" spans="1:35" s="100" customFormat="1" hidden="1">
      <c r="A17" s="53">
        <v>12</v>
      </c>
      <c r="B17" s="53">
        <v>120</v>
      </c>
      <c r="C17" s="58" t="s">
        <v>657</v>
      </c>
      <c r="D17" s="58" t="s">
        <v>109</v>
      </c>
      <c r="E17" s="58" t="s">
        <v>566</v>
      </c>
      <c r="F17" s="56">
        <v>45597</v>
      </c>
      <c r="G17" s="58"/>
      <c r="H17" s="58"/>
      <c r="I17" s="58"/>
      <c r="J17" s="58" t="s">
        <v>58</v>
      </c>
      <c r="K17" s="58"/>
      <c r="L17" s="58"/>
      <c r="M17" s="58"/>
      <c r="N17" s="56">
        <v>21171</v>
      </c>
      <c r="O17" s="56"/>
      <c r="P17" s="56"/>
      <c r="Q17" s="58"/>
      <c r="R17" s="61">
        <v>0</v>
      </c>
      <c r="S17" s="61">
        <v>1546.29</v>
      </c>
      <c r="T17" s="61">
        <f>Tabela22[[#This Row],[ÚLTIMO SALÁRIO]]+Tabela22[[#This Row],[Dissídio 2025 5,20%]]</f>
        <v>1627</v>
      </c>
      <c r="U17" s="62"/>
      <c r="V17" s="58"/>
      <c r="W17" s="62"/>
      <c r="X17" s="58"/>
      <c r="Y17" s="62"/>
      <c r="Z17" s="61">
        <v>80.709999999999994</v>
      </c>
      <c r="AA17" s="61">
        <f>Tabela22[[#This Row],[ÚLTIMO SALÁRIO]]*4.1%</f>
        <v>63.39788999999999</v>
      </c>
      <c r="AB17" s="61"/>
      <c r="AC17" s="61"/>
      <c r="AD17" s="61"/>
      <c r="AE17" s="62">
        <f>Tabela22[[#This Row],[SALÁRIO ATUAL]]+Tabela22[[#This Row],[COMPLEMENTO SALARIAL]]+Tabela22[[#This Row],[AJUDA DE CUSTO]]</f>
        <v>1627</v>
      </c>
      <c r="AF17" s="58" t="s">
        <v>630</v>
      </c>
      <c r="AG17" s="58" t="s">
        <v>658</v>
      </c>
      <c r="AH17" s="58"/>
      <c r="AI17" s="58" t="s">
        <v>75</v>
      </c>
    </row>
    <row r="18" spans="1:35" hidden="1">
      <c r="A18" s="115">
        <v>13</v>
      </c>
      <c r="B18" s="116">
        <v>123</v>
      </c>
      <c r="C18" s="16" t="s">
        <v>659</v>
      </c>
      <c r="D18" s="16" t="s">
        <v>35</v>
      </c>
      <c r="E18" s="16" t="s">
        <v>572</v>
      </c>
      <c r="F18" s="14">
        <v>42186</v>
      </c>
      <c r="G18" s="14"/>
      <c r="H18" s="16" t="s">
        <v>660</v>
      </c>
      <c r="I18" s="16">
        <v>1008</v>
      </c>
      <c r="J18" s="16" t="s">
        <v>58</v>
      </c>
      <c r="K18" s="36"/>
      <c r="L18" s="36" t="s">
        <v>661</v>
      </c>
      <c r="M18" s="16"/>
      <c r="N18" s="33" t="s">
        <v>662</v>
      </c>
      <c r="O18" s="33" t="s">
        <v>663</v>
      </c>
      <c r="P18" s="14" t="s">
        <v>664</v>
      </c>
      <c r="Q18" s="16"/>
      <c r="R18" s="19">
        <v>1412</v>
      </c>
      <c r="S18" s="19">
        <v>1518</v>
      </c>
      <c r="T18" s="19">
        <v>1621</v>
      </c>
      <c r="U18" s="21"/>
      <c r="V18" s="16"/>
      <c r="W18" s="21"/>
      <c r="X18" s="16"/>
      <c r="Y18" s="21"/>
      <c r="Z18" s="19">
        <v>106</v>
      </c>
      <c r="AA18" s="19">
        <f>Tabela22[[#This Row],[ÚLTIMO SALÁRIO]]*4.1%</f>
        <v>62.237999999999992</v>
      </c>
      <c r="AB18" s="19"/>
      <c r="AC18" s="19"/>
      <c r="AD18" s="19"/>
      <c r="AE18" s="21">
        <f>Tabela22[[#This Row],[SALÁRIO ATUAL]]+Tabela22[[#This Row],[COMPLEMENTO SALARIAL]]+Tabela22[[#This Row],[AJUDA DE CUSTO]]</f>
        <v>1621</v>
      </c>
      <c r="AF18" s="16" t="s">
        <v>574</v>
      </c>
      <c r="AG18" s="16" t="s">
        <v>575</v>
      </c>
      <c r="AH18" s="16"/>
      <c r="AI18" s="16" t="s">
        <v>75</v>
      </c>
    </row>
    <row r="19" spans="1:35" s="184" customFormat="1" hidden="1">
      <c r="A19" s="196">
        <v>14</v>
      </c>
      <c r="B19" s="196">
        <v>210004</v>
      </c>
      <c r="C19" s="173" t="s">
        <v>451</v>
      </c>
      <c r="D19" s="173" t="s">
        <v>109</v>
      </c>
      <c r="E19" s="173" t="s">
        <v>566</v>
      </c>
      <c r="F19" s="186">
        <v>43865</v>
      </c>
      <c r="G19" s="173"/>
      <c r="H19" s="173" t="s">
        <v>452</v>
      </c>
      <c r="I19" s="173">
        <v>1002</v>
      </c>
      <c r="J19" s="173" t="s">
        <v>58</v>
      </c>
      <c r="K19" s="205" t="s">
        <v>453</v>
      </c>
      <c r="L19" s="187" t="s">
        <v>665</v>
      </c>
      <c r="M19" s="173"/>
      <c r="N19" s="186">
        <v>37282</v>
      </c>
      <c r="O19" s="206" t="s">
        <v>666</v>
      </c>
      <c r="P19" s="186" t="s">
        <v>667</v>
      </c>
      <c r="Q19" s="173"/>
      <c r="R19" s="180">
        <v>2087.1999999999998</v>
      </c>
      <c r="S19" s="180">
        <v>2168.1999999999998</v>
      </c>
      <c r="T19" s="180">
        <f>Tabela22[[#This Row],[ÚLTIMO SALÁRIO]]+Tabela22[[#This Row],[Dissídio 2025 5,20%]]</f>
        <v>2290</v>
      </c>
      <c r="U19" s="188"/>
      <c r="V19" s="173"/>
      <c r="W19" s="188"/>
      <c r="X19" s="173"/>
      <c r="Y19" s="188"/>
      <c r="Z19" s="180">
        <v>121.8</v>
      </c>
      <c r="AA19" s="180">
        <f>Tabela22[[#This Row],[ÚLTIMO SALÁRIO]]*4.1%</f>
        <v>88.896199999999979</v>
      </c>
      <c r="AB19" s="180">
        <f>700+381.4</f>
        <v>1081.4000000000001</v>
      </c>
      <c r="AC19" s="180"/>
      <c r="AD19" s="180">
        <v>350</v>
      </c>
      <c r="AE19" s="188">
        <f>Tabela22[[#This Row],[SALÁRIO ATUAL]]+Tabela22[[#This Row],[COMPLEMENTO SALARIAL]]+Tabela22[[#This Row],[AJUDA DE CUSTO]]</f>
        <v>3721.4</v>
      </c>
      <c r="AF19" s="207" t="s">
        <v>601</v>
      </c>
      <c r="AG19" s="173" t="s">
        <v>459</v>
      </c>
      <c r="AH19" s="173"/>
      <c r="AI19" s="173" t="s">
        <v>75</v>
      </c>
    </row>
    <row r="20" spans="1:35" s="100" customFormat="1" hidden="1">
      <c r="A20" s="53">
        <v>15</v>
      </c>
      <c r="B20" s="130">
        <v>210005</v>
      </c>
      <c r="C20" s="58" t="s">
        <v>668</v>
      </c>
      <c r="D20" s="58" t="s">
        <v>109</v>
      </c>
      <c r="E20" s="58" t="s">
        <v>566</v>
      </c>
      <c r="F20" s="56">
        <v>45040</v>
      </c>
      <c r="G20" s="58"/>
      <c r="H20" s="58" t="s">
        <v>669</v>
      </c>
      <c r="I20" s="58">
        <v>1010</v>
      </c>
      <c r="J20" s="58" t="s">
        <v>37</v>
      </c>
      <c r="K20" s="65" t="s">
        <v>670</v>
      </c>
      <c r="L20" s="65" t="s">
        <v>670</v>
      </c>
      <c r="M20" s="58" t="s">
        <v>671</v>
      </c>
      <c r="N20" s="56">
        <v>34389</v>
      </c>
      <c r="O20" s="202" t="s">
        <v>672</v>
      </c>
      <c r="P20" s="56" t="s">
        <v>673</v>
      </c>
      <c r="Q20" s="58"/>
      <c r="R20" s="61">
        <v>2387.1999999999998</v>
      </c>
      <c r="S20" s="61">
        <f>2480.3+Tabela22[[#This Row],[AUMENTO ESPONTÂNEO]]</f>
        <v>2700</v>
      </c>
      <c r="T20" s="61">
        <f>Tabela22[[#This Row],[ÚLTIMO SALÁRIO]]+Tabela22[[#This Row],[PROMOÇÃO ]]+Tabela22[[#This Row],[Dissídio 2025 5,20%]]</f>
        <v>3366.4</v>
      </c>
      <c r="U20" s="62">
        <v>219.7</v>
      </c>
      <c r="V20" s="56">
        <v>45659</v>
      </c>
      <c r="W20" s="62"/>
      <c r="X20" s="56"/>
      <c r="Y20" s="62">
        <v>500</v>
      </c>
      <c r="Z20" s="61">
        <v>166.4</v>
      </c>
      <c r="AA20" s="61">
        <f>Tabela22[[#This Row],[ÚLTIMO SALÁRIO]]*4.1%</f>
        <v>110.69999999999999</v>
      </c>
      <c r="AB20" s="61"/>
      <c r="AC20" s="61"/>
      <c r="AD20" s="61"/>
      <c r="AE20" s="62">
        <f>Tabela22[[#This Row],[SALÁRIO ATUAL]]+Tabela22[[#This Row],[COMPLEMENTO SALARIAL]]+Tabela22[[#This Row],[AJUDA DE CUSTO]]</f>
        <v>3366.4</v>
      </c>
      <c r="AF20" s="131" t="s">
        <v>601</v>
      </c>
      <c r="AG20" s="58" t="s">
        <v>674</v>
      </c>
      <c r="AH20" s="58"/>
      <c r="AI20" s="58" t="s">
        <v>75</v>
      </c>
    </row>
    <row r="21" spans="1:35" hidden="1">
      <c r="A21" s="115">
        <v>16</v>
      </c>
      <c r="B21" s="116">
        <v>210008</v>
      </c>
      <c r="C21" s="16" t="s">
        <v>675</v>
      </c>
      <c r="D21" s="16" t="s">
        <v>109</v>
      </c>
      <c r="E21" s="16" t="s">
        <v>572</v>
      </c>
      <c r="F21" s="14">
        <v>45418</v>
      </c>
      <c r="G21" s="16"/>
      <c r="H21" s="16" t="s">
        <v>676</v>
      </c>
      <c r="I21" s="16"/>
      <c r="J21" s="16" t="s">
        <v>58</v>
      </c>
      <c r="K21" s="79" t="s">
        <v>677</v>
      </c>
      <c r="L21" s="79" t="s">
        <v>678</v>
      </c>
      <c r="M21" s="16" t="s">
        <v>679</v>
      </c>
      <c r="N21" s="14">
        <v>37804</v>
      </c>
      <c r="O21" s="14" t="s">
        <v>680</v>
      </c>
      <c r="P21" s="14" t="s">
        <v>681</v>
      </c>
      <c r="Q21" s="16"/>
      <c r="R21" s="19">
        <v>1825.04</v>
      </c>
      <c r="S21" s="19">
        <v>2220</v>
      </c>
      <c r="T21" s="19">
        <f>Tabela22[[#This Row],[ÚLTIMO SALÁRIO]]*4.1%+Tabela22[[#This Row],[ÚLTIMO SALÁRIO]]</f>
        <v>2311.02</v>
      </c>
      <c r="U21" s="21">
        <v>300</v>
      </c>
      <c r="V21" s="14">
        <v>46037</v>
      </c>
      <c r="W21" s="21"/>
      <c r="X21" s="16"/>
      <c r="Y21" s="21"/>
      <c r="Z21" s="19">
        <v>94.96</v>
      </c>
      <c r="AA21" s="19">
        <f>Tabela22[[#This Row],[ÚLTIMO SALÁRIO]]*4.1%</f>
        <v>91.019999999999982</v>
      </c>
      <c r="AB21" s="19"/>
      <c r="AC21" s="19"/>
      <c r="AD21" s="19"/>
      <c r="AE21" s="21">
        <f>Tabela22[[#This Row],[SALÁRIO ATUAL]]+Tabela22[[#This Row],[COMPLEMENTO SALARIAL]]+Tabela22[[#This Row],[AJUDA DE CUSTO]]</f>
        <v>2311.02</v>
      </c>
      <c r="AF21" s="16" t="s">
        <v>630</v>
      </c>
      <c r="AG21" s="16" t="s">
        <v>682</v>
      </c>
      <c r="AH21" s="16"/>
      <c r="AI21" s="16" t="s">
        <v>75</v>
      </c>
    </row>
    <row r="22" spans="1:35" hidden="1">
      <c r="A22" s="115">
        <v>17</v>
      </c>
      <c r="B22" s="115">
        <v>210011</v>
      </c>
      <c r="C22" s="16" t="s">
        <v>683</v>
      </c>
      <c r="D22" s="16" t="s">
        <v>109</v>
      </c>
      <c r="E22" s="16" t="s">
        <v>572</v>
      </c>
      <c r="F22" s="14">
        <v>45439</v>
      </c>
      <c r="G22" s="16"/>
      <c r="H22" s="16" t="s">
        <v>684</v>
      </c>
      <c r="I22" s="16">
        <v>1058</v>
      </c>
      <c r="J22" s="16" t="s">
        <v>37</v>
      </c>
      <c r="K22" s="79" t="s">
        <v>685</v>
      </c>
      <c r="L22" s="79" t="s">
        <v>686</v>
      </c>
      <c r="M22" s="16" t="s">
        <v>687</v>
      </c>
      <c r="N22" s="14">
        <v>36782</v>
      </c>
      <c r="O22" s="14" t="s">
        <v>688</v>
      </c>
      <c r="P22" s="14" t="s">
        <v>689</v>
      </c>
      <c r="Q22" s="16"/>
      <c r="R22" s="19">
        <v>2075.04</v>
      </c>
      <c r="S22" s="19">
        <v>2524.8000000000002</v>
      </c>
      <c r="T22" s="19">
        <f>Tabela22[[#This Row],[ÚLTIMO SALÁRIO]]*4.1%+Tabela22[[#This Row],[ÚLTIMO SALÁRIO]]+Tabela22[[#This Row],[Aumento espontãneo 2]]</f>
        <v>2999.9967999999999</v>
      </c>
      <c r="U22" s="21">
        <v>324.95999999999998</v>
      </c>
      <c r="V22" s="14">
        <v>45659</v>
      </c>
      <c r="W22" s="21">
        <v>371.68</v>
      </c>
      <c r="X22" s="14">
        <v>46156</v>
      </c>
      <c r="Y22" s="21"/>
      <c r="Z22" s="19">
        <v>124.8</v>
      </c>
      <c r="AA22" s="19">
        <f>Tabela22[[#This Row],[ÚLTIMO SALÁRIO]]*4.1%</f>
        <v>103.51679999999999</v>
      </c>
      <c r="AB22" s="19"/>
      <c r="AC22" s="19">
        <v>220</v>
      </c>
      <c r="AD22" s="19"/>
      <c r="AE22" s="21">
        <f>Tabela22[[#This Row],[SALÁRIO ATUAL]]+Tabela22[[#This Row],[COMPLEMENTO SALARIAL]]+Tabela22[[#This Row],[AJUDA DE CUSTO]]</f>
        <v>2999.9967999999999</v>
      </c>
      <c r="AF22" s="16" t="s">
        <v>611</v>
      </c>
      <c r="AG22" s="16" t="s">
        <v>690</v>
      </c>
      <c r="AH22" s="16"/>
      <c r="AI22" s="16" t="s">
        <v>75</v>
      </c>
    </row>
    <row r="23" spans="1:35" hidden="1">
      <c r="A23" s="196">
        <v>18</v>
      </c>
      <c r="B23" s="171">
        <v>210013</v>
      </c>
      <c r="C23" s="58" t="s">
        <v>244</v>
      </c>
      <c r="D23" s="58" t="s">
        <v>109</v>
      </c>
      <c r="E23" s="58" t="s">
        <v>566</v>
      </c>
      <c r="F23" s="56">
        <v>45075</v>
      </c>
      <c r="G23" s="58" t="s">
        <v>691</v>
      </c>
      <c r="H23" s="58" t="s">
        <v>245</v>
      </c>
      <c r="I23" s="58"/>
      <c r="J23" s="58" t="s">
        <v>58</v>
      </c>
      <c r="K23" s="84" t="s">
        <v>246</v>
      </c>
      <c r="L23" s="84"/>
      <c r="M23" s="58" t="s">
        <v>249</v>
      </c>
      <c r="N23" s="56">
        <v>34536</v>
      </c>
      <c r="O23" s="56"/>
      <c r="P23" s="56"/>
      <c r="Q23" s="58"/>
      <c r="R23" s="61">
        <v>2100</v>
      </c>
      <c r="S23" s="61">
        <v>2600</v>
      </c>
      <c r="T23" s="61">
        <v>2701.4</v>
      </c>
      <c r="U23" s="62"/>
      <c r="V23" s="58"/>
      <c r="W23" s="62"/>
      <c r="X23" s="58"/>
      <c r="Y23" s="62"/>
      <c r="Z23" s="58"/>
      <c r="AA23" s="62">
        <f>Tabela22[[#This Row],[ÚLTIMO SALÁRIO]]*4.1%</f>
        <v>106.59999999999998</v>
      </c>
      <c r="AB23" s="61"/>
      <c r="AC23" s="61"/>
      <c r="AD23" s="61">
        <v>400</v>
      </c>
      <c r="AE23" s="62">
        <f>Tabela22[[#This Row],[SALÁRIO ATUAL]]+Tabela22[[#This Row],[COMPLEMENTO SALARIAL]]+Tabela22[[#This Row],[AJUDA DE CUSTO]]</f>
        <v>3101.4</v>
      </c>
      <c r="AF23" s="131" t="s">
        <v>611</v>
      </c>
      <c r="AG23" s="58" t="s">
        <v>692</v>
      </c>
      <c r="AH23" s="58"/>
      <c r="AI23" s="58" t="s">
        <v>75</v>
      </c>
    </row>
    <row r="24" spans="1:35" hidden="1">
      <c r="A24" s="196">
        <v>19</v>
      </c>
      <c r="B24" s="196">
        <v>210015</v>
      </c>
      <c r="C24" s="58" t="s">
        <v>693</v>
      </c>
      <c r="D24" s="58" t="s">
        <v>109</v>
      </c>
      <c r="E24" s="58" t="s">
        <v>566</v>
      </c>
      <c r="F24" s="56">
        <v>45707</v>
      </c>
      <c r="G24" s="58" t="s">
        <v>694</v>
      </c>
      <c r="H24" s="58" t="s">
        <v>695</v>
      </c>
      <c r="I24" s="58"/>
      <c r="J24" s="58" t="s">
        <v>37</v>
      </c>
      <c r="K24" s="65" t="s">
        <v>696</v>
      </c>
      <c r="L24" s="58"/>
      <c r="M24" s="58" t="s">
        <v>697</v>
      </c>
      <c r="N24" s="56">
        <v>26637</v>
      </c>
      <c r="O24" s="58" t="s">
        <v>698</v>
      </c>
      <c r="P24" s="58" t="s">
        <v>699</v>
      </c>
      <c r="Q24" s="99" t="s">
        <v>700</v>
      </c>
      <c r="R24" s="61"/>
      <c r="S24" s="61"/>
      <c r="T24" s="61">
        <v>2500</v>
      </c>
      <c r="U24" s="62"/>
      <c r="V24" s="58"/>
      <c r="W24" s="62"/>
      <c r="X24" s="58"/>
      <c r="Y24" s="62"/>
      <c r="Z24" s="58"/>
      <c r="AA24" s="62">
        <f>Tabela22[[#This Row],[ÚLTIMO SALÁRIO]]*4.1%</f>
        <v>0</v>
      </c>
      <c r="AB24" s="61"/>
      <c r="AC24" s="61"/>
      <c r="AD24" s="61"/>
      <c r="AE24" s="62">
        <f>Tabela22[[#This Row],[SALÁRIO ATUAL]]+Tabela22[[#This Row],[COMPLEMENTO SALARIAL]]+Tabela22[[#This Row],[AJUDA DE CUSTO]]</f>
        <v>2500</v>
      </c>
      <c r="AF24" s="58" t="s">
        <v>569</v>
      </c>
      <c r="AG24" s="58" t="s">
        <v>203</v>
      </c>
      <c r="AH24" s="58"/>
      <c r="AI24" s="58" t="s">
        <v>67</v>
      </c>
    </row>
    <row r="25" spans="1:35" ht="15.95" hidden="1" customHeight="1">
      <c r="A25" s="196">
        <v>20</v>
      </c>
      <c r="B25" s="171">
        <v>148</v>
      </c>
      <c r="C25" s="58" t="s">
        <v>701</v>
      </c>
      <c r="D25" s="58" t="s">
        <v>35</v>
      </c>
      <c r="E25" s="58" t="s">
        <v>566</v>
      </c>
      <c r="F25" s="56">
        <v>45782</v>
      </c>
      <c r="G25" s="56">
        <v>45826</v>
      </c>
      <c r="H25" s="58" t="s">
        <v>702</v>
      </c>
      <c r="I25" s="58"/>
      <c r="J25" s="58" t="s">
        <v>37</v>
      </c>
      <c r="K25" s="65" t="s">
        <v>703</v>
      </c>
      <c r="L25" s="55"/>
      <c r="M25" s="55" t="s">
        <v>704</v>
      </c>
      <c r="N25" s="56">
        <v>27975</v>
      </c>
      <c r="O25" s="58" t="s">
        <v>705</v>
      </c>
      <c r="P25" s="58" t="s">
        <v>706</v>
      </c>
      <c r="Q25" s="132" t="s">
        <v>707</v>
      </c>
      <c r="R25" s="61"/>
      <c r="S25" s="61"/>
      <c r="T25" s="61">
        <v>2500</v>
      </c>
      <c r="U25" s="62"/>
      <c r="V25" s="58"/>
      <c r="W25" s="62"/>
      <c r="X25" s="58"/>
      <c r="Y25" s="62"/>
      <c r="Z25" s="61">
        <v>0</v>
      </c>
      <c r="AA25" s="61">
        <f>Tabela22[[#This Row],[ÚLTIMO SALÁRIO]]*4.1%</f>
        <v>0</v>
      </c>
      <c r="AB25" s="61"/>
      <c r="AC25" s="61"/>
      <c r="AD25" s="61"/>
      <c r="AE25" s="62">
        <f>Tabela22[[#This Row],[SALÁRIO ATUAL]]+Tabela22[[#This Row],[COMPLEMENTO SALARIAL]]+Tabela22[[#This Row],[AJUDA DE CUSTO]]</f>
        <v>2500</v>
      </c>
      <c r="AF25" s="58" t="s">
        <v>569</v>
      </c>
      <c r="AG25" s="58" t="s">
        <v>647</v>
      </c>
      <c r="AH25" s="58"/>
      <c r="AI25" s="58" t="s">
        <v>75</v>
      </c>
    </row>
    <row r="26" spans="1:35" hidden="1">
      <c r="A26" s="115">
        <v>21</v>
      </c>
      <c r="B26" s="115">
        <v>210016</v>
      </c>
      <c r="C26" s="16" t="s">
        <v>708</v>
      </c>
      <c r="D26" s="16" t="s">
        <v>35</v>
      </c>
      <c r="E26" s="16" t="s">
        <v>572</v>
      </c>
      <c r="F26" s="14">
        <v>45538</v>
      </c>
      <c r="G26" s="14"/>
      <c r="H26" s="16" t="s">
        <v>641</v>
      </c>
      <c r="I26" s="16"/>
      <c r="J26" s="16" t="s">
        <v>37</v>
      </c>
      <c r="K26" s="79" t="s">
        <v>709</v>
      </c>
      <c r="L26" s="79" t="s">
        <v>710</v>
      </c>
      <c r="M26" s="16" t="s">
        <v>711</v>
      </c>
      <c r="N26" s="14">
        <v>31586</v>
      </c>
      <c r="O26" s="33" t="s">
        <v>712</v>
      </c>
      <c r="P26" s="14" t="s">
        <v>713</v>
      </c>
      <c r="Q26" s="16" t="s">
        <v>714</v>
      </c>
      <c r="R26" s="19">
        <v>4000</v>
      </c>
      <c r="S26" s="19">
        <v>4138.8</v>
      </c>
      <c r="T26" s="19">
        <f>Tabela22[[#This Row],[ÚLTIMO SALÁRIO]]*4.1%+Tabela22[[#This Row],[ÚLTIMO SALÁRIO]]+Tabela22[[#This Row],[Aumento espontãneo 2]]</f>
        <v>4400.0008000000007</v>
      </c>
      <c r="U26" s="21">
        <v>400</v>
      </c>
      <c r="V26" s="14">
        <v>45758</v>
      </c>
      <c r="W26" s="19">
        <v>91.51</v>
      </c>
      <c r="X26" s="14">
        <v>46156</v>
      </c>
      <c r="Y26" s="21"/>
      <c r="Z26" s="19">
        <v>138.80000000000001</v>
      </c>
      <c r="AA26" s="19">
        <f>Tabela22[[#This Row],[ÚLTIMO SALÁRIO]]*4.1%</f>
        <v>169.6908</v>
      </c>
      <c r="AB26" s="19"/>
      <c r="AC26" s="19"/>
      <c r="AD26" s="19"/>
      <c r="AE26" s="21">
        <f>Tabela22[[#This Row],[SALÁRIO ATUAL]]+Tabela22[[#This Row],[COMPLEMENTO SALARIAL]]+Tabela22[[#This Row],[AJUDA DE CUSTO]]</f>
        <v>4400.0008000000007</v>
      </c>
      <c r="AF26" s="27" t="s">
        <v>715</v>
      </c>
      <c r="AG26" s="16" t="s">
        <v>716</v>
      </c>
      <c r="AH26" s="16"/>
      <c r="AI26" s="16" t="s">
        <v>75</v>
      </c>
    </row>
    <row r="27" spans="1:35" hidden="1">
      <c r="A27" s="116">
        <v>22</v>
      </c>
      <c r="B27" s="116">
        <v>210017</v>
      </c>
      <c r="C27" s="16" t="s">
        <v>717</v>
      </c>
      <c r="D27" s="16" t="s">
        <v>109</v>
      </c>
      <c r="E27" s="16" t="s">
        <v>572</v>
      </c>
      <c r="F27" s="14">
        <v>45201</v>
      </c>
      <c r="G27" s="16"/>
      <c r="H27" s="16" t="s">
        <v>718</v>
      </c>
      <c r="I27" s="16">
        <v>1055</v>
      </c>
      <c r="J27" s="16" t="s">
        <v>37</v>
      </c>
      <c r="K27" s="79" t="s">
        <v>719</v>
      </c>
      <c r="L27" s="79" t="s">
        <v>720</v>
      </c>
      <c r="M27" s="16" t="s">
        <v>721</v>
      </c>
      <c r="N27" s="14">
        <v>35563</v>
      </c>
      <c r="O27" s="14" t="s">
        <v>722</v>
      </c>
      <c r="P27" s="168" t="s">
        <v>723</v>
      </c>
      <c r="Q27" s="16"/>
      <c r="R27" s="19">
        <v>2096.8000000000002</v>
      </c>
      <c r="S27" s="19">
        <v>2205.83</v>
      </c>
      <c r="T27" s="19">
        <f>Tabela22[[#This Row],[ÚLTIMO SALÁRIO]]*4.1%+Tabela22[[#This Row],[ÚLTIMO SALÁRIO]]+Tabela22[[#This Row],[AUMENTO ESPONTÂNEO]]</f>
        <v>2499.9990299999999</v>
      </c>
      <c r="U27" s="21">
        <v>203.73</v>
      </c>
      <c r="V27" s="14">
        <v>46156</v>
      </c>
      <c r="W27" s="21"/>
      <c r="X27" s="16"/>
      <c r="Y27" s="21"/>
      <c r="Z27" s="19">
        <v>109.03</v>
      </c>
      <c r="AA27" s="19">
        <f>Tabela22[[#This Row],[ÚLTIMO SALÁRIO]]*4.1%</f>
        <v>90.439029999999988</v>
      </c>
      <c r="AB27" s="19"/>
      <c r="AC27" s="19"/>
      <c r="AD27" s="19">
        <v>300</v>
      </c>
      <c r="AE27" s="21">
        <f>Tabela22[[#This Row],[SALÁRIO ATUAL]]+Tabela22[[#This Row],[COMPLEMENTO SALARIAL]]+Tabela22[[#This Row],[AJUDA DE CUSTO]]</f>
        <v>2799.9990299999999</v>
      </c>
      <c r="AF27" s="16" t="s">
        <v>591</v>
      </c>
      <c r="AG27" s="16" t="s">
        <v>656</v>
      </c>
      <c r="AH27" s="16"/>
      <c r="AI27" s="16" t="s">
        <v>75</v>
      </c>
    </row>
    <row r="28" spans="1:35" s="100" customFormat="1" hidden="1">
      <c r="A28" s="53">
        <v>23</v>
      </c>
      <c r="B28" s="53"/>
      <c r="C28" s="58" t="s">
        <v>724</v>
      </c>
      <c r="D28" s="58" t="s">
        <v>109</v>
      </c>
      <c r="E28" s="58" t="s">
        <v>566</v>
      </c>
      <c r="F28" s="56">
        <v>45217</v>
      </c>
      <c r="G28" s="58"/>
      <c r="H28" s="58" t="s">
        <v>725</v>
      </c>
      <c r="I28" s="58">
        <v>1020</v>
      </c>
      <c r="J28" s="58" t="s">
        <v>37</v>
      </c>
      <c r="K28" s="216" t="s">
        <v>726</v>
      </c>
      <c r="L28" s="216" t="s">
        <v>727</v>
      </c>
      <c r="M28" s="100" t="s">
        <v>728</v>
      </c>
      <c r="N28" s="101">
        <v>37440</v>
      </c>
      <c r="O28" s="101" t="s">
        <v>729</v>
      </c>
      <c r="P28" s="217" t="s">
        <v>730</v>
      </c>
      <c r="Q28" s="58"/>
      <c r="R28" s="61">
        <v>3820</v>
      </c>
      <c r="S28" s="61">
        <v>4018.64</v>
      </c>
      <c r="T28" s="61">
        <f>Tabela22[[#This Row],[ÚLTIMO SALÁRIO]]*4.1%+Tabela22[[#This Row],[ÚLTIMO SALÁRIO]]</f>
        <v>4183.4042399999998</v>
      </c>
      <c r="U28" s="62">
        <v>1058.44</v>
      </c>
      <c r="V28" s="56">
        <v>45659</v>
      </c>
      <c r="W28" s="62"/>
      <c r="X28" s="56"/>
      <c r="Y28" s="62"/>
      <c r="Z28" s="61">
        <v>198.64</v>
      </c>
      <c r="AA28" s="61">
        <f>Tabela22[[#This Row],[ÚLTIMO SALÁRIO]]*4.1%</f>
        <v>164.76423999999997</v>
      </c>
      <c r="AB28" s="61"/>
      <c r="AC28" s="61">
        <v>0</v>
      </c>
      <c r="AD28" s="58"/>
      <c r="AE28" s="62">
        <f>Tabela22[[#This Row],[SALÁRIO ATUAL]]+Tabela22[[#This Row],[COMPLEMENTO SALARIAL]]+Tabela22[[#This Row],[AJUDA DE CUSTO]]</f>
        <v>4183.4042399999998</v>
      </c>
      <c r="AF28" s="58" t="s">
        <v>731</v>
      </c>
      <c r="AG28" s="58" t="s">
        <v>732</v>
      </c>
      <c r="AH28" s="58"/>
      <c r="AI28" s="58" t="s">
        <v>75</v>
      </c>
    </row>
    <row r="29" spans="1:35" s="184" customFormat="1" hidden="1">
      <c r="A29" s="196">
        <v>24</v>
      </c>
      <c r="B29" s="196"/>
      <c r="C29" s="173" t="s">
        <v>733</v>
      </c>
      <c r="D29" s="173" t="s">
        <v>109</v>
      </c>
      <c r="E29" s="173" t="s">
        <v>566</v>
      </c>
      <c r="F29" s="186">
        <v>46027</v>
      </c>
      <c r="G29" s="173"/>
      <c r="H29" s="173" t="s">
        <v>734</v>
      </c>
      <c r="I29" s="173"/>
      <c r="J29" s="173" t="s">
        <v>58</v>
      </c>
      <c r="K29" s="187" t="s">
        <v>735</v>
      </c>
      <c r="L29" s="187" t="s">
        <v>736</v>
      </c>
      <c r="M29" s="173" t="s">
        <v>737</v>
      </c>
      <c r="N29" s="186">
        <v>37718</v>
      </c>
      <c r="O29" s="186" t="s">
        <v>738</v>
      </c>
      <c r="P29" s="186" t="s">
        <v>739</v>
      </c>
      <c r="Q29" s="173" t="s">
        <v>740</v>
      </c>
      <c r="R29" s="173"/>
      <c r="S29" s="173"/>
      <c r="T29" s="180">
        <v>2100</v>
      </c>
      <c r="U29" s="188">
        <f>SUM(Tabela22[[#This Row],[PENÚLTIMO SALÁRIO]]+Tabela22[[#This Row],[ÚLTIMO SALÁRIO]]+Tabela22[[#This Row],[SALÁRIO ATUAL]])</f>
        <v>2100</v>
      </c>
      <c r="V29" s="188"/>
      <c r="W29" s="188"/>
      <c r="X29" s="188"/>
      <c r="Y29" s="188"/>
      <c r="Z29" s="180"/>
      <c r="AA29" s="180">
        <f>Tabela22[[#This Row],[ÚLTIMO SALÁRIO]]*4.1%</f>
        <v>0</v>
      </c>
      <c r="AB29" s="180"/>
      <c r="AC29" s="180"/>
      <c r="AD29" s="173"/>
      <c r="AE29" s="188">
        <f>Tabela22[[#This Row],[SALÁRIO ATUAL]]+Tabela22[[#This Row],[COMPLEMENTO SALARIAL]]+Tabela22[[#This Row],[AJUDA DE CUSTO]]</f>
        <v>2100</v>
      </c>
      <c r="AF29" s="173" t="s">
        <v>601</v>
      </c>
      <c r="AG29" s="173" t="s">
        <v>741</v>
      </c>
      <c r="AH29" s="173"/>
      <c r="AI29" s="173" t="s">
        <v>75</v>
      </c>
    </row>
    <row r="30" spans="1:35" s="35" customFormat="1" ht="31.5" hidden="1" customHeight="1">
      <c r="A30" s="130">
        <v>25</v>
      </c>
      <c r="B30" s="130"/>
      <c r="C30" s="58" t="s">
        <v>742</v>
      </c>
      <c r="D30" s="58" t="s">
        <v>35</v>
      </c>
      <c r="E30" s="58" t="s">
        <v>566</v>
      </c>
      <c r="F30" s="56">
        <v>45670</v>
      </c>
      <c r="G30" s="58" t="s">
        <v>743</v>
      </c>
      <c r="H30" s="58" t="s">
        <v>744</v>
      </c>
      <c r="I30" s="58"/>
      <c r="J30" s="58" t="s">
        <v>37</v>
      </c>
      <c r="K30" s="191" t="s">
        <v>745</v>
      </c>
      <c r="L30" s="131"/>
      <c r="M30" s="131" t="s">
        <v>746</v>
      </c>
      <c r="N30" s="66">
        <v>33447</v>
      </c>
      <c r="O30" s="131" t="s">
        <v>747</v>
      </c>
      <c r="P30" s="131" t="s">
        <v>748</v>
      </c>
      <c r="Q30" s="99" t="s">
        <v>749</v>
      </c>
      <c r="R30" s="61"/>
      <c r="S30" s="61"/>
      <c r="T30" s="61">
        <v>1650</v>
      </c>
      <c r="U30" s="62"/>
      <c r="V30" s="58"/>
      <c r="W30" s="62"/>
      <c r="X30" s="58"/>
      <c r="Y30" s="62"/>
      <c r="Z30" s="61">
        <v>42.9</v>
      </c>
      <c r="AA30" s="61">
        <f>Tabela22[[#This Row],[ÚLTIMO SALÁRIO]]*4.1%</f>
        <v>0</v>
      </c>
      <c r="AB30" s="61"/>
      <c r="AC30" s="61"/>
      <c r="AD30" s="61">
        <v>300</v>
      </c>
      <c r="AE30" s="62">
        <f>Tabela22[[#This Row],[SALÁRIO ATUAL]]+Tabela22[[#This Row],[COMPLEMENTO SALARIAL]]+Tabela22[[#This Row],[AJUDA DE CUSTO]]</f>
        <v>1950</v>
      </c>
      <c r="AF30" s="58" t="s">
        <v>630</v>
      </c>
      <c r="AG30" s="58" t="s">
        <v>631</v>
      </c>
      <c r="AH30" s="58"/>
      <c r="AI30" s="58" t="s">
        <v>75</v>
      </c>
    </row>
    <row r="31" spans="1:35" s="35" customFormat="1" hidden="1">
      <c r="A31" s="192">
        <v>26</v>
      </c>
      <c r="B31" s="192"/>
      <c r="C31" s="16" t="s">
        <v>750</v>
      </c>
      <c r="D31" s="16" t="s">
        <v>109</v>
      </c>
      <c r="E31" s="16" t="s">
        <v>572</v>
      </c>
      <c r="F31" s="14">
        <v>45293</v>
      </c>
      <c r="G31" s="16"/>
      <c r="H31" s="16" t="s">
        <v>751</v>
      </c>
      <c r="I31" s="16"/>
      <c r="J31" s="16" t="s">
        <v>58</v>
      </c>
      <c r="K31" s="79" t="s">
        <v>752</v>
      </c>
      <c r="L31" s="79" t="s">
        <v>753</v>
      </c>
      <c r="M31" s="16" t="s">
        <v>754</v>
      </c>
      <c r="N31" s="14">
        <v>32267</v>
      </c>
      <c r="O31" s="200" t="s">
        <v>755</v>
      </c>
      <c r="P31" s="14" t="s">
        <v>664</v>
      </c>
      <c r="Q31" s="16"/>
      <c r="R31" s="19">
        <v>3500</v>
      </c>
      <c r="S31" s="19">
        <v>3997.6</v>
      </c>
      <c r="T31" s="19">
        <f>Tabela22[[#This Row],[ÚLTIMO SALÁRIO]]*4.1%+Tabela22[[#This Row],[ÚLTIMO SALÁRIO]]</f>
        <v>4161.5015999999996</v>
      </c>
      <c r="U31" s="19">
        <v>247.84</v>
      </c>
      <c r="V31" s="20">
        <v>45659</v>
      </c>
      <c r="W31" s="19">
        <v>300</v>
      </c>
      <c r="X31" s="20">
        <v>45705</v>
      </c>
      <c r="Y31" s="19"/>
      <c r="Z31" s="19">
        <v>197.6</v>
      </c>
      <c r="AA31" s="19">
        <f>Tabela22[[#This Row],[ÚLTIMO SALÁRIO]]*4.1%</f>
        <v>163.90159999999997</v>
      </c>
      <c r="AB31" s="19"/>
      <c r="AC31" s="19"/>
      <c r="AD31" s="19"/>
      <c r="AE31" s="21">
        <f>Tabela22[[#This Row],[SALÁRIO ATUAL]]+Tabela22[[#This Row],[COMPLEMENTO SALARIAL]]+Tabela22[[#This Row],[AJUDA DE CUSTO]]</f>
        <v>4161.5015999999996</v>
      </c>
      <c r="AF31" s="16" t="s">
        <v>601</v>
      </c>
      <c r="AG31" s="16" t="s">
        <v>756</v>
      </c>
      <c r="AH31" s="16"/>
      <c r="AI31" s="16" t="s">
        <v>75</v>
      </c>
    </row>
    <row r="32" spans="1:35" s="100" customFormat="1" ht="15.95" hidden="1" customHeight="1">
      <c r="A32" s="130">
        <v>27</v>
      </c>
      <c r="B32" s="130">
        <v>152</v>
      </c>
      <c r="C32" s="58" t="s">
        <v>757</v>
      </c>
      <c r="D32" s="58" t="s">
        <v>109</v>
      </c>
      <c r="E32" s="58" t="s">
        <v>566</v>
      </c>
      <c r="F32" s="56">
        <v>45012</v>
      </c>
      <c r="G32" s="58"/>
      <c r="H32" s="58" t="s">
        <v>758</v>
      </c>
      <c r="I32" s="58">
        <v>1037</v>
      </c>
      <c r="J32" s="58" t="s">
        <v>58</v>
      </c>
      <c r="K32" s="65" t="s">
        <v>759</v>
      </c>
      <c r="L32" s="65" t="s">
        <v>760</v>
      </c>
      <c r="M32" s="58" t="s">
        <v>761</v>
      </c>
      <c r="N32" s="56">
        <v>35783</v>
      </c>
      <c r="O32" s="66" t="s">
        <v>762</v>
      </c>
      <c r="P32" s="56" t="s">
        <v>763</v>
      </c>
      <c r="Q32" s="58"/>
      <c r="R32" s="61">
        <v>2387.1999999999998</v>
      </c>
      <c r="S32" s="61">
        <f>2480.3+Tabela22[[#This Row],[AUMENTO ESPONTÂNEO]]</f>
        <v>2700</v>
      </c>
      <c r="T32" s="61">
        <f>Tabela22[[#This Row],[ÚLTIMO SALÁRIO]]+Tabela22[[#This Row],[Dissídio 2025 5,20%]]</f>
        <v>2840.4</v>
      </c>
      <c r="U32" s="61">
        <v>219.7</v>
      </c>
      <c r="V32" s="56">
        <v>45659</v>
      </c>
      <c r="W32" s="61"/>
      <c r="X32" s="56"/>
      <c r="Y32" s="61"/>
      <c r="Z32" s="61">
        <v>140.4</v>
      </c>
      <c r="AA32" s="61">
        <f>Tabela22[[#This Row],[ÚLTIMO SALÁRIO]]*4.1%</f>
        <v>110.69999999999999</v>
      </c>
      <c r="AB32" s="61"/>
      <c r="AC32" s="61"/>
      <c r="AD32" s="61"/>
      <c r="AE32" s="62">
        <f>Tabela22[[#This Row],[SALÁRIO ATUAL]]+Tabela22[[#This Row],[COMPLEMENTO SALARIAL]]+Tabela22[[#This Row],[AJUDA DE CUSTO]]</f>
        <v>2840.4</v>
      </c>
      <c r="AF32" s="131" t="s">
        <v>601</v>
      </c>
      <c r="AG32" s="99" t="s">
        <v>764</v>
      </c>
      <c r="AH32" s="58"/>
      <c r="AI32" s="58" t="s">
        <v>75</v>
      </c>
    </row>
    <row r="33" spans="1:293" ht="15.95" hidden="1" customHeight="1">
      <c r="A33" s="192">
        <v>28</v>
      </c>
      <c r="B33" s="192">
        <v>153</v>
      </c>
      <c r="C33" s="16" t="s">
        <v>765</v>
      </c>
      <c r="D33" s="16" t="s">
        <v>35</v>
      </c>
      <c r="E33" s="16" t="s">
        <v>572</v>
      </c>
      <c r="F33" s="14">
        <v>44410</v>
      </c>
      <c r="G33" s="14"/>
      <c r="H33" s="16" t="s">
        <v>766</v>
      </c>
      <c r="I33" s="16">
        <v>1011</v>
      </c>
      <c r="J33" s="16" t="s">
        <v>37</v>
      </c>
      <c r="K33" s="17" t="s">
        <v>767</v>
      </c>
      <c r="L33" s="36" t="s">
        <v>768</v>
      </c>
      <c r="M33" s="16" t="s">
        <v>769</v>
      </c>
      <c r="N33" s="14">
        <v>28440</v>
      </c>
      <c r="O33" s="33" t="s">
        <v>770</v>
      </c>
      <c r="P33" s="14" t="s">
        <v>771</v>
      </c>
      <c r="Q33" s="16"/>
      <c r="R33" s="19">
        <v>2422.98</v>
      </c>
      <c r="S33" s="19">
        <v>2548.9699999999998</v>
      </c>
      <c r="T33" s="19">
        <f>Tabela22[[#This Row],[ÚLTIMO SALÁRIO]]*4.1%+Tabela22[[#This Row],[ÚLTIMO SALÁRIO]]</f>
        <v>2653.47777</v>
      </c>
      <c r="U33" s="21"/>
      <c r="V33" s="16"/>
      <c r="W33" s="21"/>
      <c r="X33" s="16"/>
      <c r="Y33" s="21"/>
      <c r="Z33" s="19">
        <v>125.99</v>
      </c>
      <c r="AA33" s="19">
        <f>Tabela22[[#This Row],[ÚLTIMO SALÁRIO]]*4.1%</f>
        <v>104.50776999999998</v>
      </c>
      <c r="AB33" s="19">
        <f>1600+350</f>
        <v>1950</v>
      </c>
      <c r="AC33" s="19"/>
      <c r="AD33" s="19">
        <v>205.66</v>
      </c>
      <c r="AE33" s="21">
        <f>Tabela22[[#This Row],[SALÁRIO ATUAL]]+Tabela22[[#This Row],[COMPLEMENTO SALARIAL]]+Tabela22[[#This Row],[AJUDA DE CUSTO]]</f>
        <v>4809.1377699999994</v>
      </c>
      <c r="AF33" s="16" t="s">
        <v>611</v>
      </c>
      <c r="AG33" s="16" t="s">
        <v>772</v>
      </c>
      <c r="AH33" s="16"/>
      <c r="AI33" s="16" t="s">
        <v>75</v>
      </c>
    </row>
    <row r="34" spans="1:293" hidden="1">
      <c r="A34" s="116">
        <v>29</v>
      </c>
      <c r="B34" s="116">
        <v>154</v>
      </c>
      <c r="C34" s="16" t="s">
        <v>773</v>
      </c>
      <c r="D34" s="16" t="s">
        <v>109</v>
      </c>
      <c r="E34" s="16" t="s">
        <v>572</v>
      </c>
      <c r="F34" s="14">
        <v>45670</v>
      </c>
      <c r="G34" s="16"/>
      <c r="H34" s="16" t="s">
        <v>774</v>
      </c>
      <c r="I34" s="16"/>
      <c r="J34" s="16" t="s">
        <v>37</v>
      </c>
      <c r="K34" s="81" t="s">
        <v>775</v>
      </c>
      <c r="L34" s="81" t="s">
        <v>776</v>
      </c>
      <c r="M34" s="27" t="s">
        <v>777</v>
      </c>
      <c r="N34" s="33">
        <v>33091</v>
      </c>
      <c r="O34" s="27" t="s">
        <v>778</v>
      </c>
      <c r="P34" s="27" t="s">
        <v>779</v>
      </c>
      <c r="Q34" s="27" t="s">
        <v>780</v>
      </c>
      <c r="R34" s="19">
        <v>2100</v>
      </c>
      <c r="S34" s="19">
        <v>2154.6</v>
      </c>
      <c r="T34" s="19">
        <f>Tabela22[[#This Row],[ÚLTIMO SALÁRIO]]*4.1%+Tabela22[[#This Row],[ÚLTIMO SALÁRIO]]</f>
        <v>2242.9386</v>
      </c>
      <c r="U34" s="21"/>
      <c r="V34" s="16"/>
      <c r="W34" s="21"/>
      <c r="X34" s="16"/>
      <c r="Y34" s="21"/>
      <c r="Z34" s="19">
        <v>54.6</v>
      </c>
      <c r="AA34" s="19">
        <f>Tabela22[[#This Row],[ÚLTIMO SALÁRIO]]*4.1%</f>
        <v>88.338599999999985</v>
      </c>
      <c r="AB34" s="19"/>
      <c r="AC34" s="19"/>
      <c r="AD34" s="19">
        <v>351.23</v>
      </c>
      <c r="AE34" s="21">
        <f>Tabela22[[#This Row],[SALÁRIO ATUAL]]+Tabela22[[#This Row],[COMPLEMENTO SALARIAL]]+Tabela22[[#This Row],[AJUDA DE CUSTO]]</f>
        <v>2594.1686</v>
      </c>
      <c r="AF34" s="16" t="s">
        <v>591</v>
      </c>
      <c r="AG34" s="16" t="s">
        <v>656</v>
      </c>
      <c r="AH34" s="16"/>
      <c r="AI34" s="16" t="s">
        <v>75</v>
      </c>
    </row>
    <row r="35" spans="1:293" s="100" customFormat="1" hidden="1">
      <c r="A35" s="53">
        <v>30</v>
      </c>
      <c r="B35" s="154"/>
      <c r="C35" s="58" t="s">
        <v>781</v>
      </c>
      <c r="D35" s="58" t="s">
        <v>35</v>
      </c>
      <c r="E35" s="58" t="s">
        <v>566</v>
      </c>
      <c r="F35" s="56">
        <v>45173</v>
      </c>
      <c r="G35" s="56" t="s">
        <v>782</v>
      </c>
      <c r="H35" s="58"/>
      <c r="I35" s="58"/>
      <c r="J35" s="58"/>
      <c r="K35" s="58"/>
      <c r="L35" s="58"/>
      <c r="M35" s="58"/>
      <c r="N35" s="56">
        <v>30296</v>
      </c>
      <c r="O35" s="66"/>
      <c r="P35" s="56"/>
      <c r="Q35" s="58"/>
      <c r="R35" s="61">
        <v>1800</v>
      </c>
      <c r="S35" s="61">
        <v>1800</v>
      </c>
      <c r="T35" s="61">
        <v>1852.74</v>
      </c>
      <c r="U35" s="62"/>
      <c r="V35" s="58"/>
      <c r="W35" s="62"/>
      <c r="X35" s="58"/>
      <c r="Y35" s="62"/>
      <c r="Z35" s="58"/>
      <c r="AA35" s="62">
        <f>Tabela22[[#This Row],[ÚLTIMO SALÁRIO]]*4.1%</f>
        <v>73.8</v>
      </c>
      <c r="AB35" s="61"/>
      <c r="AC35" s="61"/>
      <c r="AD35" s="61"/>
      <c r="AE35" s="62">
        <f>Tabela22[[#This Row],[SALÁRIO ATUAL]]+Tabela22[[#This Row],[COMPLEMENTO SALARIAL]]+Tabela22[[#This Row],[AJUDA DE CUSTO]]</f>
        <v>1852.74</v>
      </c>
      <c r="AF35" s="131" t="s">
        <v>783</v>
      </c>
      <c r="AG35" s="58" t="s">
        <v>631</v>
      </c>
      <c r="AH35" s="58"/>
      <c r="AI35" s="58" t="s">
        <v>75</v>
      </c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5"/>
      <c r="DB35" s="165"/>
      <c r="DC35" s="165"/>
      <c r="DD35" s="165"/>
      <c r="DE35" s="165"/>
      <c r="DF35" s="165"/>
      <c r="DG35" s="165"/>
      <c r="DH35" s="165"/>
      <c r="DI35" s="165"/>
      <c r="DJ35" s="165"/>
      <c r="DK35" s="165"/>
      <c r="DL35" s="165"/>
      <c r="DM35" s="165"/>
      <c r="DN35" s="165"/>
      <c r="DO35" s="165"/>
      <c r="DP35" s="165"/>
      <c r="DQ35" s="165"/>
      <c r="DR35" s="165"/>
      <c r="DS35" s="165"/>
      <c r="DT35" s="165"/>
      <c r="DU35" s="165"/>
      <c r="DV35" s="165"/>
      <c r="DW35" s="165"/>
      <c r="DX35" s="165"/>
      <c r="DY35" s="165"/>
      <c r="DZ35" s="165"/>
      <c r="EA35" s="165"/>
      <c r="EB35" s="165"/>
      <c r="EC35" s="165"/>
      <c r="ED35" s="165"/>
      <c r="EE35" s="165"/>
      <c r="EF35" s="165"/>
      <c r="EG35" s="165"/>
      <c r="EH35" s="165"/>
      <c r="EI35" s="165"/>
      <c r="EJ35" s="165"/>
      <c r="EK35" s="165"/>
      <c r="EL35" s="165"/>
      <c r="EM35" s="165"/>
      <c r="EN35" s="165"/>
      <c r="EO35" s="165"/>
      <c r="EP35" s="165"/>
      <c r="EQ35" s="165"/>
      <c r="ER35" s="165"/>
      <c r="ES35" s="165"/>
      <c r="ET35" s="165"/>
      <c r="EU35" s="165"/>
      <c r="EV35" s="165"/>
      <c r="EW35" s="165"/>
      <c r="EX35" s="165"/>
      <c r="EY35" s="165"/>
      <c r="EZ35" s="165"/>
      <c r="FA35" s="165"/>
      <c r="FB35" s="165"/>
      <c r="FC35" s="165"/>
      <c r="FD35" s="165"/>
      <c r="FE35" s="165"/>
      <c r="FF35" s="165"/>
      <c r="FG35" s="165"/>
      <c r="FH35" s="165"/>
      <c r="FI35" s="165"/>
      <c r="FJ35" s="165"/>
      <c r="FK35" s="165"/>
      <c r="FL35" s="165"/>
      <c r="FM35" s="165"/>
      <c r="FN35" s="165"/>
      <c r="FO35" s="165"/>
      <c r="FP35" s="165"/>
      <c r="FQ35" s="165"/>
      <c r="FR35" s="165"/>
      <c r="FS35" s="165"/>
      <c r="FT35" s="165"/>
      <c r="FU35" s="165"/>
      <c r="FV35" s="165"/>
      <c r="FW35" s="165"/>
      <c r="FX35" s="165"/>
      <c r="FY35" s="165"/>
      <c r="FZ35" s="165"/>
      <c r="GA35" s="165"/>
      <c r="GB35" s="165"/>
      <c r="GC35" s="165"/>
      <c r="GD35" s="165"/>
      <c r="GE35" s="165"/>
      <c r="GF35" s="165"/>
      <c r="GG35" s="165"/>
      <c r="GH35" s="165"/>
      <c r="GI35" s="165"/>
      <c r="GJ35" s="165"/>
      <c r="GK35" s="165"/>
      <c r="GL35" s="165"/>
      <c r="GM35" s="165"/>
      <c r="GN35" s="165"/>
      <c r="GO35" s="165"/>
      <c r="GP35" s="165"/>
      <c r="GQ35" s="165"/>
      <c r="GR35" s="165"/>
      <c r="GS35" s="165"/>
      <c r="GT35" s="165"/>
      <c r="GU35" s="165"/>
      <c r="GV35" s="165"/>
      <c r="GW35" s="165"/>
      <c r="GX35" s="165"/>
      <c r="GY35" s="165"/>
      <c r="GZ35" s="165"/>
      <c r="HA35" s="165"/>
      <c r="HB35" s="165"/>
      <c r="HC35" s="165"/>
      <c r="HD35" s="165"/>
      <c r="HE35" s="165"/>
      <c r="HF35" s="165"/>
      <c r="HG35" s="165"/>
      <c r="HH35" s="165"/>
      <c r="HI35" s="165"/>
      <c r="HJ35" s="165"/>
      <c r="HK35" s="165"/>
      <c r="HL35" s="165"/>
      <c r="HM35" s="165"/>
      <c r="HN35" s="165"/>
      <c r="HO35" s="165"/>
      <c r="HP35" s="165"/>
      <c r="HQ35" s="165"/>
      <c r="HR35" s="165"/>
      <c r="HS35" s="165"/>
      <c r="HT35" s="165"/>
      <c r="HU35" s="165"/>
      <c r="HV35" s="165"/>
      <c r="HW35" s="165"/>
      <c r="HX35" s="165"/>
      <c r="HY35" s="165"/>
      <c r="HZ35" s="165"/>
      <c r="IA35" s="165"/>
      <c r="IB35" s="165"/>
      <c r="IC35" s="165"/>
      <c r="ID35" s="165"/>
      <c r="IE35" s="165"/>
      <c r="IF35" s="165"/>
      <c r="IG35" s="165"/>
      <c r="IH35" s="165"/>
      <c r="II35" s="165"/>
      <c r="IJ35" s="165"/>
      <c r="IK35" s="165"/>
      <c r="IL35" s="165"/>
      <c r="IM35" s="165"/>
      <c r="IN35" s="165"/>
      <c r="IO35" s="165"/>
      <c r="IP35" s="165"/>
      <c r="IQ35" s="165"/>
      <c r="IR35" s="165"/>
      <c r="IS35" s="165"/>
      <c r="IT35" s="165"/>
      <c r="IU35" s="165"/>
      <c r="IV35" s="165"/>
      <c r="IW35" s="165"/>
      <c r="IX35" s="165"/>
      <c r="IY35" s="165"/>
      <c r="IZ35" s="165"/>
      <c r="JA35" s="165"/>
      <c r="JB35" s="165"/>
      <c r="JC35" s="165"/>
      <c r="JD35" s="165"/>
      <c r="JE35" s="165"/>
      <c r="JF35" s="165"/>
      <c r="JG35" s="165"/>
      <c r="JH35" s="165"/>
      <c r="JI35" s="165"/>
      <c r="JJ35" s="165"/>
      <c r="JK35" s="165"/>
      <c r="JL35" s="165"/>
      <c r="JM35" s="165"/>
      <c r="JN35" s="165"/>
      <c r="JO35" s="165"/>
      <c r="JP35" s="165"/>
      <c r="JQ35" s="165"/>
      <c r="JR35" s="165"/>
      <c r="JS35" s="165"/>
      <c r="JT35" s="165"/>
      <c r="JU35" s="165"/>
      <c r="JV35" s="165"/>
      <c r="JW35" s="165"/>
      <c r="JX35" s="165"/>
      <c r="JY35" s="165"/>
      <c r="JZ35" s="165"/>
      <c r="KA35" s="165"/>
      <c r="KB35" s="165"/>
      <c r="KC35" s="165"/>
      <c r="KD35" s="165"/>
      <c r="KE35" s="165"/>
      <c r="KF35" s="165"/>
      <c r="KG35" s="165"/>
    </row>
    <row r="36" spans="1:293" ht="14.45" hidden="1" customHeight="1">
      <c r="A36" s="171">
        <v>31</v>
      </c>
      <c r="B36" s="197"/>
      <c r="C36" s="142" t="s">
        <v>784</v>
      </c>
      <c r="D36" s="142" t="s">
        <v>35</v>
      </c>
      <c r="E36" s="142" t="s">
        <v>566</v>
      </c>
      <c r="F36" s="143">
        <v>45797</v>
      </c>
      <c r="G36" s="143">
        <v>45840</v>
      </c>
      <c r="H36" s="142" t="s">
        <v>785</v>
      </c>
      <c r="I36" s="142"/>
      <c r="J36" s="142" t="s">
        <v>37</v>
      </c>
      <c r="K36" s="144" t="s">
        <v>786</v>
      </c>
      <c r="L36" s="142"/>
      <c r="M36" s="142" t="s">
        <v>787</v>
      </c>
      <c r="N36" s="143">
        <v>36642</v>
      </c>
      <c r="O36" s="142" t="s">
        <v>788</v>
      </c>
      <c r="P36" s="142" t="s">
        <v>789</v>
      </c>
      <c r="Q36" s="145" t="s">
        <v>790</v>
      </c>
      <c r="R36" s="146"/>
      <c r="S36" s="146"/>
      <c r="T36" s="146">
        <v>2100</v>
      </c>
      <c r="U36" s="147"/>
      <c r="V36" s="142"/>
      <c r="W36" s="147"/>
      <c r="X36" s="142"/>
      <c r="Y36" s="147"/>
      <c r="Z36" s="142"/>
      <c r="AA36" s="147">
        <f>Tabela22[[#This Row],[ÚLTIMO SALÁRIO]]*4.1%</f>
        <v>0</v>
      </c>
      <c r="AB36" s="146"/>
      <c r="AC36" s="146"/>
      <c r="AD36" s="146"/>
      <c r="AE36" s="147">
        <f>Tabela22[[#This Row],[SALÁRIO ATUAL]]+Tabela22[[#This Row],[COMPLEMENTO SALARIAL]]+Tabela22[[#This Row],[AJUDA DE CUSTO]]</f>
        <v>2100</v>
      </c>
      <c r="AF36" s="142" t="s">
        <v>601</v>
      </c>
      <c r="AG36" s="142" t="s">
        <v>602</v>
      </c>
      <c r="AH36" s="142"/>
      <c r="AI36" s="142" t="s">
        <v>75</v>
      </c>
    </row>
    <row r="37" spans="1:293" hidden="1">
      <c r="A37" s="115">
        <v>32</v>
      </c>
      <c r="B37" s="119"/>
      <c r="C37" s="16" t="s">
        <v>791</v>
      </c>
      <c r="D37" s="16" t="s">
        <v>109</v>
      </c>
      <c r="E37" s="16" t="s">
        <v>572</v>
      </c>
      <c r="F37" s="14">
        <v>46099</v>
      </c>
      <c r="G37" s="16"/>
      <c r="H37" s="16" t="s">
        <v>792</v>
      </c>
      <c r="I37" s="16"/>
      <c r="J37" s="16" t="s">
        <v>37</v>
      </c>
      <c r="K37" s="17" t="s">
        <v>793</v>
      </c>
      <c r="L37" s="36"/>
      <c r="M37" s="16" t="s">
        <v>794</v>
      </c>
      <c r="N37" s="14">
        <v>36430</v>
      </c>
      <c r="O37" s="16" t="s">
        <v>795</v>
      </c>
      <c r="P37" s="16" t="s">
        <v>796</v>
      </c>
      <c r="Q37" s="16" t="s">
        <v>797</v>
      </c>
      <c r="R37" s="19"/>
      <c r="S37" s="19">
        <v>1825.04</v>
      </c>
      <c r="T37" s="208">
        <v>1900</v>
      </c>
      <c r="U37" s="21"/>
      <c r="V37" s="16"/>
      <c r="W37" s="21"/>
      <c r="X37" s="16"/>
      <c r="Y37" s="21"/>
      <c r="Z37" s="16"/>
      <c r="AA37" s="21">
        <f>Tabela22[[#This Row],[ÚLTIMO SALÁRIO]]*4.1%</f>
        <v>74.826639999999983</v>
      </c>
      <c r="AB37" s="19"/>
      <c r="AC37" s="19"/>
      <c r="AD37" s="19"/>
      <c r="AE37" s="21">
        <f>Tabela22[[#This Row],[SALÁRIO ATUAL]]+Tabela22[[#This Row],[COMPLEMENTO SALARIAL]]+Tabela22[[#This Row],[AJUDA DE CUSTO]]</f>
        <v>1900</v>
      </c>
      <c r="AF37" s="16" t="s">
        <v>47</v>
      </c>
      <c r="AG37" s="16" t="s">
        <v>798</v>
      </c>
      <c r="AH37" s="16" t="s">
        <v>799</v>
      </c>
      <c r="AI37" s="16" t="s">
        <v>75</v>
      </c>
    </row>
    <row r="38" spans="1:293" hidden="1">
      <c r="A38" s="116">
        <v>33</v>
      </c>
      <c r="B38" s="120"/>
      <c r="C38" s="16" t="s">
        <v>800</v>
      </c>
      <c r="D38" s="16" t="s">
        <v>35</v>
      </c>
      <c r="E38" s="16" t="s">
        <v>572</v>
      </c>
      <c r="F38" s="14">
        <v>46153</v>
      </c>
      <c r="G38" s="16"/>
      <c r="H38" s="16" t="s">
        <v>801</v>
      </c>
      <c r="I38" s="16"/>
      <c r="J38" s="16" t="s">
        <v>37</v>
      </c>
      <c r="K38" s="17" t="s">
        <v>802</v>
      </c>
      <c r="L38" s="36"/>
      <c r="M38" s="16" t="s">
        <v>803</v>
      </c>
      <c r="N38" s="14">
        <v>29645</v>
      </c>
      <c r="O38" s="16" t="s">
        <v>804</v>
      </c>
      <c r="P38" s="16" t="s">
        <v>804</v>
      </c>
      <c r="Q38" s="16" t="s">
        <v>805</v>
      </c>
      <c r="R38" s="19"/>
      <c r="S38" s="19">
        <v>2000</v>
      </c>
      <c r="T38" s="19">
        <f>Tabela22[[#This Row],[ÚLTIMO SALÁRIO]]*0.34%+Tabela22[[#This Row],[ÚLTIMO SALÁRIO]]</f>
        <v>2006.8</v>
      </c>
      <c r="U38" s="21"/>
      <c r="V38" s="16"/>
      <c r="W38" s="21"/>
      <c r="X38" s="16"/>
      <c r="Y38" s="21"/>
      <c r="Z38" s="16"/>
      <c r="AA38" s="21">
        <f>Tabela22[[#This Row],[SALÁRIO ATUAL]]*0.34%</f>
        <v>6.8231200000000003</v>
      </c>
      <c r="AB38" s="19"/>
      <c r="AC38" s="19"/>
      <c r="AD38" s="19"/>
      <c r="AE38" s="21">
        <f>Tabela22[[#This Row],[SALÁRIO ATUAL]]+Tabela22[[#This Row],[COMPLEMENTO SALARIAL]]+Tabela22[[#This Row],[AJUDA DE CUSTO]]</f>
        <v>2006.8</v>
      </c>
      <c r="AF38" s="16"/>
      <c r="AG38" s="16"/>
      <c r="AH38" s="16"/>
      <c r="AI38" s="16"/>
    </row>
    <row r="39" spans="1:293" hidden="1">
      <c r="A39" s="116">
        <v>34</v>
      </c>
      <c r="B39" s="120"/>
      <c r="C39" s="38" t="s">
        <v>806</v>
      </c>
      <c r="D39" s="38" t="s">
        <v>109</v>
      </c>
      <c r="E39" s="38" t="s">
        <v>572</v>
      </c>
      <c r="F39" s="218">
        <v>46189</v>
      </c>
      <c r="G39" s="38"/>
      <c r="H39" s="38" t="s">
        <v>807</v>
      </c>
      <c r="I39" s="38"/>
      <c r="J39" s="38" t="s">
        <v>37</v>
      </c>
      <c r="K39" s="219" t="s">
        <v>808</v>
      </c>
      <c r="L39" s="38"/>
      <c r="M39" s="38" t="s">
        <v>809</v>
      </c>
      <c r="N39" s="218">
        <v>46188</v>
      </c>
      <c r="O39" s="38" t="s">
        <v>810</v>
      </c>
      <c r="P39" s="38" t="s">
        <v>811</v>
      </c>
      <c r="Q39" s="38"/>
      <c r="R39" s="19"/>
      <c r="S39" s="19">
        <v>0</v>
      </c>
      <c r="T39" s="19">
        <v>2000</v>
      </c>
      <c r="U39" s="21"/>
      <c r="V39" s="16"/>
      <c r="W39" s="21"/>
      <c r="X39" s="16"/>
      <c r="Y39" s="21"/>
      <c r="Z39" s="16"/>
      <c r="AA39" s="21">
        <v>0</v>
      </c>
      <c r="AB39" s="19"/>
      <c r="AC39" s="19"/>
      <c r="AD39" s="19"/>
      <c r="AE39" s="21">
        <f>Tabela22[[#This Row],[SALÁRIO ATUAL]]+Tabela22[[#This Row],[COMPLEMENTO SALARIAL]]+Tabela22[[#This Row],[AJUDA DE CUSTO]]</f>
        <v>2000</v>
      </c>
      <c r="AF39" s="16" t="s">
        <v>73</v>
      </c>
      <c r="AG39" s="16" t="s">
        <v>812</v>
      </c>
      <c r="AH39" s="16"/>
      <c r="AI39" s="16" t="s">
        <v>75</v>
      </c>
    </row>
    <row r="40" spans="1:293" s="100" customFormat="1" hidden="1">
      <c r="A40" s="130">
        <v>35</v>
      </c>
      <c r="B40" s="222"/>
      <c r="C40" s="58" t="s">
        <v>813</v>
      </c>
      <c r="D40" s="58" t="s">
        <v>109</v>
      </c>
      <c r="E40" s="58" t="s">
        <v>572</v>
      </c>
      <c r="F40" s="56">
        <v>46191</v>
      </c>
      <c r="G40" s="58"/>
      <c r="H40" s="58" t="s">
        <v>814</v>
      </c>
      <c r="I40" s="58"/>
      <c r="J40" s="58" t="s">
        <v>58</v>
      </c>
      <c r="K40" s="65" t="s">
        <v>815</v>
      </c>
      <c r="L40" s="58"/>
      <c r="M40" s="58" t="s">
        <v>816</v>
      </c>
      <c r="N40" s="56">
        <v>37979</v>
      </c>
      <c r="O40" s="58" t="s">
        <v>817</v>
      </c>
      <c r="P40" s="58" t="s">
        <v>818</v>
      </c>
      <c r="Q40" s="58" t="s">
        <v>819</v>
      </c>
      <c r="R40" s="58"/>
      <c r="S40" s="58"/>
      <c r="T40" s="61">
        <v>2200</v>
      </c>
      <c r="U40" s="62">
        <v>0</v>
      </c>
      <c r="V40" s="62"/>
      <c r="W40" s="62"/>
      <c r="X40" s="62"/>
      <c r="Y40" s="62"/>
      <c r="Z40" s="58"/>
      <c r="AA40" s="62">
        <f>Tabela22[[#This Row],[ÚLTIMO SALÁRIO]]*4.1%</f>
        <v>0</v>
      </c>
      <c r="AB40" s="61"/>
      <c r="AC40" s="61"/>
      <c r="AD40" s="61"/>
      <c r="AE40" s="62">
        <f>Tabela22[[#This Row],[SALÁRIO ATUAL]]+Tabela22[[#This Row],[COMPLEMENTO SALARIAL]]+Tabela22[[#This Row],[AJUDA DE CUSTO]]</f>
        <v>2200</v>
      </c>
      <c r="AF40" s="58" t="s">
        <v>601</v>
      </c>
      <c r="AG40" s="58" t="s">
        <v>602</v>
      </c>
      <c r="AH40" s="58"/>
      <c r="AI40" s="58" t="s">
        <v>75</v>
      </c>
    </row>
    <row r="41" spans="1:293" hidden="1">
      <c r="A41" s="116">
        <v>36</v>
      </c>
      <c r="B41" s="120"/>
      <c r="C41" s="16" t="s">
        <v>820</v>
      </c>
      <c r="D41" s="16" t="s">
        <v>109</v>
      </c>
      <c r="E41" s="16" t="s">
        <v>572</v>
      </c>
      <c r="F41" s="14">
        <v>46202</v>
      </c>
      <c r="G41" s="16"/>
      <c r="H41" s="16" t="s">
        <v>821</v>
      </c>
      <c r="I41" s="16"/>
      <c r="J41" s="16" t="s">
        <v>58</v>
      </c>
      <c r="K41" s="220" t="s">
        <v>822</v>
      </c>
      <c r="L41" s="16"/>
      <c r="M41" s="16" t="s">
        <v>823</v>
      </c>
      <c r="N41" s="14">
        <v>38236</v>
      </c>
      <c r="O41" s="16" t="s">
        <v>824</v>
      </c>
      <c r="P41" s="16" t="s">
        <v>825</v>
      </c>
      <c r="Q41" s="16" t="s">
        <v>826</v>
      </c>
      <c r="R41" s="16"/>
      <c r="S41" s="16"/>
      <c r="T41" s="221">
        <v>2200</v>
      </c>
      <c r="U41" s="21">
        <v>0</v>
      </c>
      <c r="V41" s="21"/>
      <c r="W41" s="21"/>
      <c r="X41" s="21"/>
      <c r="Y41" s="21"/>
      <c r="Z41" s="16"/>
      <c r="AA41" s="21">
        <f>Tabela22[[#This Row],[ÚLTIMO SALÁRIO]]*4.1%</f>
        <v>0</v>
      </c>
      <c r="AB41" s="19"/>
      <c r="AC41" s="19"/>
      <c r="AD41" s="19"/>
      <c r="AE41" s="21">
        <f>Tabela22[[#This Row],[SALÁRIO ATUAL]]+Tabela22[[#This Row],[COMPLEMENTO SALARIAL]]+Tabela22[[#This Row],[AJUDA DE CUSTO]]</f>
        <v>2200</v>
      </c>
      <c r="AF41" s="16" t="s">
        <v>601</v>
      </c>
      <c r="AG41" s="16" t="s">
        <v>602</v>
      </c>
      <c r="AH41" s="16"/>
      <c r="AI41" s="16" t="s">
        <v>75</v>
      </c>
    </row>
    <row r="42" spans="1:293" hidden="1">
      <c r="A42" s="119"/>
      <c r="B42" s="119"/>
      <c r="C42" s="16"/>
      <c r="D42" s="16"/>
      <c r="E42" s="16"/>
      <c r="F42" s="16"/>
      <c r="G42" s="16"/>
      <c r="H42" s="16"/>
      <c r="I42" s="16"/>
      <c r="J42" s="16"/>
      <c r="K42" s="36"/>
      <c r="L42" s="36"/>
      <c r="M42" s="16"/>
      <c r="N42" s="16"/>
      <c r="O42" s="16"/>
      <c r="P42" s="16"/>
      <c r="Q42" s="16"/>
      <c r="R42" s="19"/>
      <c r="S42" s="19"/>
      <c r="T42" s="19"/>
      <c r="U42" s="21"/>
      <c r="V42" s="16"/>
      <c r="W42" s="21"/>
      <c r="X42" s="16"/>
      <c r="Y42" s="21"/>
      <c r="Z42" s="16"/>
      <c r="AA42" s="21">
        <f>Tabela22[[#This Row],[ÚLTIMO SALÁRIO]]*4.1%</f>
        <v>0</v>
      </c>
      <c r="AB42" s="19"/>
      <c r="AC42" s="19"/>
      <c r="AD42" s="19"/>
      <c r="AE42" s="21">
        <f>Tabela22[[#This Row],[SALÁRIO ATUAL]]+Tabela22[[#This Row],[COMPLEMENTO SALARIAL]]+Tabela22[[#This Row],[AJUDA DE CUSTO]]</f>
        <v>0</v>
      </c>
      <c r="AF42" s="16"/>
      <c r="AG42" s="16"/>
      <c r="AH42" s="16"/>
      <c r="AI42" s="16"/>
    </row>
    <row r="43" spans="1:293" hidden="1">
      <c r="A43" s="120"/>
      <c r="B43" s="120"/>
      <c r="C43" s="16"/>
      <c r="D43" s="16"/>
      <c r="E43" s="16"/>
      <c r="F43" s="16"/>
      <c r="G43" s="16"/>
      <c r="H43" s="16"/>
      <c r="I43" s="16"/>
      <c r="J43" s="16"/>
      <c r="K43" s="36"/>
      <c r="L43" s="36"/>
      <c r="M43" s="16"/>
      <c r="N43" s="16"/>
      <c r="O43" s="16"/>
      <c r="P43" s="16"/>
      <c r="Q43" s="16"/>
      <c r="R43" s="19"/>
      <c r="S43" s="19"/>
      <c r="T43" s="19"/>
      <c r="U43" s="21"/>
      <c r="V43" s="16"/>
      <c r="W43" s="21"/>
      <c r="X43" s="16"/>
      <c r="Y43" s="21"/>
      <c r="Z43" s="16"/>
      <c r="AA43" s="21">
        <f>Tabela22[[#This Row],[ÚLTIMO SALÁRIO]]*4.1%</f>
        <v>0</v>
      </c>
      <c r="AB43" s="19"/>
      <c r="AC43" s="19"/>
      <c r="AD43" s="19"/>
      <c r="AE43" s="21">
        <f>Tabela22[[#This Row],[SALÁRIO ATUAL]]+Tabela22[[#This Row],[COMPLEMENTO SALARIAL]]+Tabela22[[#This Row],[AJUDA DE CUSTO]]</f>
        <v>0</v>
      </c>
      <c r="AF43" s="16"/>
      <c r="AG43" s="16"/>
      <c r="AH43" s="16"/>
      <c r="AI43" s="16"/>
    </row>
    <row r="44" spans="1:293" hidden="1">
      <c r="A44" s="119"/>
      <c r="B44" s="119"/>
      <c r="C44" s="16"/>
      <c r="D44" s="16"/>
      <c r="E44" s="16"/>
      <c r="F44" s="16"/>
      <c r="G44" s="16"/>
      <c r="H44" s="16"/>
      <c r="I44" s="16"/>
      <c r="J44" s="16"/>
      <c r="K44" s="36"/>
      <c r="L44" s="36"/>
      <c r="M44" s="16"/>
      <c r="N44" s="16"/>
      <c r="O44" s="16"/>
      <c r="P44" s="16"/>
      <c r="Q44" s="16"/>
      <c r="R44" s="19"/>
      <c r="S44" s="19"/>
      <c r="T44" s="19"/>
      <c r="U44" s="21"/>
      <c r="V44" s="16"/>
      <c r="W44" s="21"/>
      <c r="X44" s="16"/>
      <c r="Y44" s="21"/>
      <c r="Z44" s="16"/>
      <c r="AA44" s="21">
        <f>Tabela22[[#This Row],[ÚLTIMO SALÁRIO]]*4.1%</f>
        <v>0</v>
      </c>
      <c r="AB44" s="19"/>
      <c r="AC44" s="19"/>
      <c r="AD44" s="19"/>
      <c r="AE44" s="21">
        <f>Tabela22[[#This Row],[SALÁRIO ATUAL]]+Tabela22[[#This Row],[COMPLEMENTO SALARIAL]]+Tabela22[[#This Row],[AJUDA DE CUSTO]]</f>
        <v>0</v>
      </c>
      <c r="AF44" s="16"/>
      <c r="AG44" s="16"/>
      <c r="AH44" s="16"/>
      <c r="AI44" s="16"/>
    </row>
    <row r="45" spans="1:293" hidden="1">
      <c r="A45" s="120"/>
      <c r="B45" s="120"/>
      <c r="C45" s="16"/>
      <c r="D45" s="16"/>
      <c r="E45" s="16"/>
      <c r="F45" s="16"/>
      <c r="G45" s="16"/>
      <c r="H45" s="16"/>
      <c r="I45" s="16"/>
      <c r="J45" s="16"/>
      <c r="K45" s="36"/>
      <c r="L45" s="36"/>
      <c r="M45" s="16"/>
      <c r="N45" s="16"/>
      <c r="O45" s="16"/>
      <c r="P45" s="16"/>
      <c r="Q45" s="16"/>
      <c r="R45" s="19"/>
      <c r="S45" s="19"/>
      <c r="T45" s="19"/>
      <c r="U45" s="21"/>
      <c r="V45" s="16"/>
      <c r="W45" s="21"/>
      <c r="X45" s="16"/>
      <c r="Y45" s="21"/>
      <c r="Z45" s="16"/>
      <c r="AA45" s="21">
        <f>Tabela22[[#This Row],[ÚLTIMO SALÁRIO]]*4.1%</f>
        <v>0</v>
      </c>
      <c r="AB45" s="19"/>
      <c r="AC45" s="19"/>
      <c r="AD45" s="19"/>
      <c r="AE45" s="21">
        <f>Tabela22[[#This Row],[SALÁRIO ATUAL]]+Tabela22[[#This Row],[COMPLEMENTO SALARIAL]]+Tabela22[[#This Row],[AJUDA DE CUSTO]]</f>
        <v>0</v>
      </c>
      <c r="AF45" s="16"/>
      <c r="AG45" s="16"/>
      <c r="AH45" s="16"/>
      <c r="AI45" s="16"/>
    </row>
    <row r="46" spans="1:293" hidden="1">
      <c r="A46" s="119"/>
      <c r="B46" s="119"/>
      <c r="C46" s="16"/>
      <c r="D46" s="16"/>
      <c r="E46" s="16"/>
      <c r="F46" s="16"/>
      <c r="G46" s="16"/>
      <c r="H46" s="16"/>
      <c r="I46" s="16"/>
      <c r="J46" s="16"/>
      <c r="K46" s="36"/>
      <c r="L46" s="36"/>
      <c r="M46" s="16"/>
      <c r="N46" s="16"/>
      <c r="O46" s="16"/>
      <c r="P46" s="16"/>
      <c r="Q46" s="16"/>
      <c r="R46" s="19"/>
      <c r="S46" s="19"/>
      <c r="T46" s="19"/>
      <c r="U46" s="21"/>
      <c r="V46" s="16"/>
      <c r="W46" s="21"/>
      <c r="X46" s="16"/>
      <c r="Y46" s="21"/>
      <c r="Z46" s="16"/>
      <c r="AA46" s="21">
        <f>Tabela22[[#This Row],[ÚLTIMO SALÁRIO]]*4.1%</f>
        <v>0</v>
      </c>
      <c r="AB46" s="19"/>
      <c r="AC46" s="19"/>
      <c r="AD46" s="19"/>
      <c r="AE46" s="21">
        <f>Tabela22[[#This Row],[SALÁRIO ATUAL]]+Tabela22[[#This Row],[COMPLEMENTO SALARIAL]]+Tabela22[[#This Row],[AJUDA DE CUSTO]]</f>
        <v>0</v>
      </c>
      <c r="AF46" s="16"/>
      <c r="AG46" s="16"/>
      <c r="AH46" s="16"/>
      <c r="AI46" s="16"/>
    </row>
    <row r="47" spans="1:293" hidden="1">
      <c r="A47" s="120"/>
      <c r="B47" s="120"/>
      <c r="C47" s="16"/>
      <c r="D47" s="16"/>
      <c r="E47" s="16"/>
      <c r="F47" s="16"/>
      <c r="G47" s="16"/>
      <c r="H47" s="16"/>
      <c r="I47" s="16"/>
      <c r="J47" s="16"/>
      <c r="K47" s="36"/>
      <c r="L47" s="36"/>
      <c r="M47" s="16"/>
      <c r="N47" s="16"/>
      <c r="O47" s="16"/>
      <c r="P47" s="16"/>
      <c r="Q47" s="16"/>
      <c r="R47" s="19"/>
      <c r="S47" s="19"/>
      <c r="T47" s="19"/>
      <c r="U47" s="21"/>
      <c r="V47" s="16"/>
      <c r="W47" s="21"/>
      <c r="X47" s="16"/>
      <c r="Y47" s="21"/>
      <c r="Z47" s="16"/>
      <c r="AA47" s="21">
        <f>Tabela22[[#This Row],[ÚLTIMO SALÁRIO]]*4.1%</f>
        <v>0</v>
      </c>
      <c r="AB47" s="19"/>
      <c r="AC47" s="19"/>
      <c r="AD47" s="19"/>
      <c r="AE47" s="21">
        <f>Tabela22[[#This Row],[SALÁRIO ATUAL]]+Tabela22[[#This Row],[COMPLEMENTO SALARIAL]]+Tabela22[[#This Row],[AJUDA DE CUSTO]]</f>
        <v>0</v>
      </c>
      <c r="AF47" s="16"/>
      <c r="AG47" s="16"/>
      <c r="AH47" s="16"/>
      <c r="AI47" s="16"/>
    </row>
    <row r="48" spans="1:293" hidden="1">
      <c r="A48" s="119"/>
      <c r="B48" s="119"/>
      <c r="C48" s="16"/>
      <c r="D48" s="16"/>
      <c r="E48" s="16"/>
      <c r="F48" s="16"/>
      <c r="G48" s="16"/>
      <c r="H48" s="16"/>
      <c r="I48" s="16"/>
      <c r="J48" s="16"/>
      <c r="K48" s="36"/>
      <c r="L48" s="36"/>
      <c r="M48" s="16"/>
      <c r="N48" s="16"/>
      <c r="O48" s="16"/>
      <c r="P48" s="16"/>
      <c r="Q48" s="16"/>
      <c r="R48" s="19"/>
      <c r="S48" s="19"/>
      <c r="T48" s="19"/>
      <c r="U48" s="21"/>
      <c r="V48" s="16"/>
      <c r="W48" s="21"/>
      <c r="X48" s="16"/>
      <c r="Y48" s="21"/>
      <c r="Z48" s="16"/>
      <c r="AA48" s="21">
        <f>Tabela22[[#This Row],[ÚLTIMO SALÁRIO]]*4.1%</f>
        <v>0</v>
      </c>
      <c r="AB48" s="19"/>
      <c r="AC48" s="19"/>
      <c r="AD48" s="19"/>
      <c r="AE48" s="21">
        <f>Tabela22[[#This Row],[SALÁRIO ATUAL]]+Tabela22[[#This Row],[COMPLEMENTO SALARIAL]]+Tabela22[[#This Row],[AJUDA DE CUSTO]]</f>
        <v>0</v>
      </c>
      <c r="AF48" s="16"/>
      <c r="AG48" s="16"/>
      <c r="AH48" s="16"/>
      <c r="AI48" s="16"/>
    </row>
    <row r="49" spans="1:35" hidden="1">
      <c r="A49" s="120"/>
      <c r="B49" s="120"/>
      <c r="C49" s="16"/>
      <c r="D49" s="16"/>
      <c r="E49" s="16"/>
      <c r="F49" s="16"/>
      <c r="G49" s="16"/>
      <c r="H49" s="16"/>
      <c r="I49" s="16"/>
      <c r="J49" s="16"/>
      <c r="K49" s="36"/>
      <c r="L49" s="36"/>
      <c r="M49" s="16"/>
      <c r="N49" s="16"/>
      <c r="O49" s="16"/>
      <c r="P49" s="16"/>
      <c r="Q49" s="16"/>
      <c r="R49" s="19"/>
      <c r="S49" s="19"/>
      <c r="T49" s="19"/>
      <c r="U49" s="21"/>
      <c r="V49" s="16"/>
      <c r="W49" s="21"/>
      <c r="X49" s="16"/>
      <c r="Y49" s="21"/>
      <c r="Z49" s="16"/>
      <c r="AA49" s="21">
        <f>Tabela22[[#This Row],[ÚLTIMO SALÁRIO]]*4.1%</f>
        <v>0</v>
      </c>
      <c r="AB49" s="19"/>
      <c r="AC49" s="19"/>
      <c r="AD49" s="19"/>
      <c r="AE49" s="21">
        <f>Tabela22[[#This Row],[SALÁRIO ATUAL]]+Tabela22[[#This Row],[COMPLEMENTO SALARIAL]]+Tabela22[[#This Row],[AJUDA DE CUSTO]]</f>
        <v>0</v>
      </c>
      <c r="AF49" s="16"/>
      <c r="AG49" s="16"/>
      <c r="AH49" s="16"/>
      <c r="AI49" s="16"/>
    </row>
    <row r="50" spans="1:35" hidden="1">
      <c r="A50" s="119"/>
      <c r="B50" s="119"/>
      <c r="C50" s="16"/>
      <c r="D50" s="16"/>
      <c r="E50" s="16"/>
      <c r="F50" s="16"/>
      <c r="G50" s="16"/>
      <c r="H50" s="16"/>
      <c r="I50" s="16"/>
      <c r="J50" s="16"/>
      <c r="K50" s="36"/>
      <c r="L50" s="36"/>
      <c r="M50" s="16"/>
      <c r="N50" s="16"/>
      <c r="O50" s="16"/>
      <c r="P50" s="16"/>
      <c r="Q50" s="16"/>
      <c r="R50" s="19"/>
      <c r="S50" s="19"/>
      <c r="T50" s="16"/>
      <c r="U50" s="21"/>
      <c r="V50" s="16"/>
      <c r="W50" s="21"/>
      <c r="X50" s="16"/>
      <c r="Y50" s="21"/>
      <c r="Z50" s="16"/>
      <c r="AA50" s="21">
        <f>Tabela22[[#This Row],[ÚLTIMO SALÁRIO]]*4.1%</f>
        <v>0</v>
      </c>
      <c r="AB50" s="19"/>
      <c r="AC50" s="19"/>
      <c r="AD50" s="19"/>
      <c r="AE50" s="21">
        <f>Tabela22[[#This Row],[SALÁRIO ATUAL]]+Tabela22[[#This Row],[COMPLEMENTO SALARIAL]]+Tabela22[[#This Row],[AJUDA DE CUSTO]]</f>
        <v>0</v>
      </c>
      <c r="AF50" s="16"/>
      <c r="AG50" s="16"/>
      <c r="AH50" s="16"/>
      <c r="AI50" s="16"/>
    </row>
    <row r="51" spans="1:35" hidden="1">
      <c r="A51" s="120"/>
      <c r="B51" s="120"/>
      <c r="C51" s="16"/>
      <c r="D51" s="16"/>
      <c r="E51" s="16"/>
      <c r="F51" s="16"/>
      <c r="G51" s="16"/>
      <c r="H51" s="16"/>
      <c r="I51" s="16"/>
      <c r="J51" s="16"/>
      <c r="K51" s="36"/>
      <c r="L51" s="36"/>
      <c r="M51" s="16"/>
      <c r="N51" s="16"/>
      <c r="O51" s="16"/>
      <c r="P51" s="16"/>
      <c r="Q51" s="16"/>
      <c r="R51" s="19"/>
      <c r="S51" s="19"/>
      <c r="T51" s="16"/>
      <c r="U51" s="21"/>
      <c r="V51" s="16"/>
      <c r="W51" s="21"/>
      <c r="X51" s="16"/>
      <c r="Y51" s="21"/>
      <c r="Z51" s="16"/>
      <c r="AA51" s="21">
        <f>Tabela22[[#This Row],[ÚLTIMO SALÁRIO]]*4.1%</f>
        <v>0</v>
      </c>
      <c r="AB51" s="19"/>
      <c r="AC51" s="19"/>
      <c r="AD51" s="19"/>
      <c r="AE51" s="21">
        <f>Tabela22[[#This Row],[SALÁRIO ATUAL]]+Tabela22[[#This Row],[COMPLEMENTO SALARIAL]]+Tabela22[[#This Row],[AJUDA DE CUSTO]]</f>
        <v>0</v>
      </c>
      <c r="AF51" s="16"/>
      <c r="AG51" s="16"/>
      <c r="AH51" s="16"/>
      <c r="AI51" s="16"/>
    </row>
    <row r="52" spans="1:35" hidden="1">
      <c r="A52" s="119"/>
      <c r="B52" s="119"/>
      <c r="C52" s="16"/>
      <c r="D52" s="16"/>
      <c r="E52" s="16"/>
      <c r="F52" s="16"/>
      <c r="G52" s="16"/>
      <c r="H52" s="16"/>
      <c r="I52" s="16"/>
      <c r="J52" s="16"/>
      <c r="K52" s="36"/>
      <c r="L52" s="36"/>
      <c r="M52" s="16"/>
      <c r="N52" s="16"/>
      <c r="O52" s="16"/>
      <c r="P52" s="16"/>
      <c r="Q52" s="16"/>
      <c r="R52" s="19"/>
      <c r="S52" s="19"/>
      <c r="T52" s="16"/>
      <c r="U52" s="21"/>
      <c r="V52" s="16"/>
      <c r="W52" s="21"/>
      <c r="X52" s="16"/>
      <c r="Y52" s="21"/>
      <c r="Z52" s="16"/>
      <c r="AA52" s="21">
        <f>Tabela22[[#This Row],[ÚLTIMO SALÁRIO]]*4.1%</f>
        <v>0</v>
      </c>
      <c r="AB52" s="19"/>
      <c r="AC52" s="19"/>
      <c r="AD52" s="19"/>
      <c r="AE52" s="21">
        <f>Tabela22[[#This Row],[SALÁRIO ATUAL]]+Tabela22[[#This Row],[COMPLEMENTO SALARIAL]]+Tabela22[[#This Row],[AJUDA DE CUSTO]]</f>
        <v>0</v>
      </c>
      <c r="AF52" s="16"/>
      <c r="AG52" s="16"/>
      <c r="AH52" s="16"/>
      <c r="AI52" s="16"/>
    </row>
    <row r="53" spans="1:35" hidden="1">
      <c r="A53" s="120"/>
      <c r="B53" s="120"/>
      <c r="C53" s="16"/>
      <c r="D53" s="16"/>
      <c r="E53" s="16"/>
      <c r="F53" s="16"/>
      <c r="G53" s="16"/>
      <c r="H53" s="16"/>
      <c r="I53" s="16"/>
      <c r="J53" s="16"/>
      <c r="K53" s="36"/>
      <c r="L53" s="36"/>
      <c r="M53" s="16"/>
      <c r="N53" s="16"/>
      <c r="O53" s="16"/>
      <c r="P53" s="16"/>
      <c r="Q53" s="16"/>
      <c r="R53" s="19"/>
      <c r="S53" s="19"/>
      <c r="T53" s="16"/>
      <c r="U53" s="21"/>
      <c r="V53" s="16"/>
      <c r="W53" s="21"/>
      <c r="X53" s="16"/>
      <c r="Y53" s="21"/>
      <c r="Z53" s="16"/>
      <c r="AA53" s="21">
        <f>Tabela22[[#This Row],[ÚLTIMO SALÁRIO]]*4.1%</f>
        <v>0</v>
      </c>
      <c r="AB53" s="19"/>
      <c r="AC53" s="19"/>
      <c r="AD53" s="19"/>
      <c r="AE53" s="21">
        <f>Tabela22[[#This Row],[SALÁRIO ATUAL]]+Tabela22[[#This Row],[COMPLEMENTO SALARIAL]]+Tabela22[[#This Row],[AJUDA DE CUSTO]]</f>
        <v>0</v>
      </c>
      <c r="AF53" s="16"/>
      <c r="AG53" s="16"/>
      <c r="AH53" s="16"/>
      <c r="AI53" s="16"/>
    </row>
    <row r="54" spans="1:35" hidden="1">
      <c r="A54" s="119"/>
      <c r="B54" s="119"/>
      <c r="C54" s="16"/>
      <c r="D54" s="16"/>
      <c r="E54" s="16"/>
      <c r="F54" s="16"/>
      <c r="G54" s="16"/>
      <c r="H54" s="16"/>
      <c r="I54" s="16"/>
      <c r="J54" s="16"/>
      <c r="K54" s="36"/>
      <c r="L54" s="36"/>
      <c r="M54" s="16"/>
      <c r="N54" s="16"/>
      <c r="O54" s="16"/>
      <c r="P54" s="16"/>
      <c r="Q54" s="16"/>
      <c r="R54" s="19"/>
      <c r="S54" s="19"/>
      <c r="T54" s="16"/>
      <c r="U54" s="21"/>
      <c r="V54" s="16"/>
      <c r="W54" s="21"/>
      <c r="X54" s="16"/>
      <c r="Y54" s="21"/>
      <c r="Z54" s="16"/>
      <c r="AA54" s="21">
        <f>Tabela22[[#This Row],[ÚLTIMO SALÁRIO]]*4.1%</f>
        <v>0</v>
      </c>
      <c r="AB54" s="19"/>
      <c r="AC54" s="19"/>
      <c r="AD54" s="19"/>
      <c r="AE54" s="21">
        <f>Tabela22[[#This Row],[SALÁRIO ATUAL]]+Tabela22[[#This Row],[COMPLEMENTO SALARIAL]]+Tabela22[[#This Row],[AJUDA DE CUSTO]]</f>
        <v>0</v>
      </c>
      <c r="AF54" s="16"/>
      <c r="AG54" s="16"/>
      <c r="AH54" s="16"/>
      <c r="AI54" s="16"/>
    </row>
    <row r="55" spans="1:35" hidden="1">
      <c r="A55" s="120"/>
      <c r="B55" s="120"/>
      <c r="C55" s="16"/>
      <c r="D55" s="16"/>
      <c r="E55" s="16"/>
      <c r="F55" s="16"/>
      <c r="G55" s="16"/>
      <c r="H55" s="16"/>
      <c r="I55" s="16"/>
      <c r="J55" s="16"/>
      <c r="K55" s="36"/>
      <c r="L55" s="36"/>
      <c r="M55" s="16"/>
      <c r="N55" s="16"/>
      <c r="O55" s="16"/>
      <c r="P55" s="16"/>
      <c r="Q55" s="16"/>
      <c r="R55" s="19"/>
      <c r="S55" s="19"/>
      <c r="T55" s="16"/>
      <c r="U55" s="21"/>
      <c r="V55" s="16"/>
      <c r="W55" s="21"/>
      <c r="X55" s="16"/>
      <c r="Y55" s="21"/>
      <c r="Z55" s="16"/>
      <c r="AA55" s="21">
        <f>Tabela22[[#This Row],[ÚLTIMO SALÁRIO]]*4.1%</f>
        <v>0</v>
      </c>
      <c r="AB55" s="19"/>
      <c r="AC55" s="19"/>
      <c r="AD55" s="19"/>
      <c r="AE55" s="21">
        <f>Tabela22[[#This Row],[SALÁRIO ATUAL]]+Tabela22[[#This Row],[COMPLEMENTO SALARIAL]]+Tabela22[[#This Row],[AJUDA DE CUSTO]]</f>
        <v>0</v>
      </c>
      <c r="AF55" s="16"/>
      <c r="AG55" s="16"/>
      <c r="AH55" s="16"/>
      <c r="AI55" s="16"/>
    </row>
    <row r="56" spans="1:35" hidden="1">
      <c r="A56" s="119"/>
      <c r="B56" s="119"/>
      <c r="C56" s="16"/>
      <c r="D56" s="16"/>
      <c r="E56" s="16"/>
      <c r="F56" s="16"/>
      <c r="G56" s="16"/>
      <c r="H56" s="16"/>
      <c r="I56" s="16"/>
      <c r="J56" s="16"/>
      <c r="K56" s="36"/>
      <c r="L56" s="36"/>
      <c r="M56" s="16"/>
      <c r="N56" s="16"/>
      <c r="O56" s="16"/>
      <c r="P56" s="16"/>
      <c r="Q56" s="16"/>
      <c r="R56" s="19"/>
      <c r="S56" s="19"/>
      <c r="T56" s="16"/>
      <c r="U56" s="21"/>
      <c r="V56" s="16"/>
      <c r="W56" s="21"/>
      <c r="X56" s="16"/>
      <c r="Y56" s="21"/>
      <c r="Z56" s="16"/>
      <c r="AA56" s="21">
        <f>Tabela22[[#This Row],[ÚLTIMO SALÁRIO]]*4.1%</f>
        <v>0</v>
      </c>
      <c r="AB56" s="19"/>
      <c r="AC56" s="19"/>
      <c r="AD56" s="19"/>
      <c r="AE56" s="21">
        <f>Tabela22[[#This Row],[SALÁRIO ATUAL]]+Tabela22[[#This Row],[COMPLEMENTO SALARIAL]]+Tabela22[[#This Row],[AJUDA DE CUSTO]]</f>
        <v>0</v>
      </c>
      <c r="AF56" s="16"/>
      <c r="AG56" s="16"/>
      <c r="AH56" s="16"/>
      <c r="AI56" s="16"/>
    </row>
    <row r="57" spans="1:35" hidden="1">
      <c r="A57" s="120"/>
      <c r="B57" s="120"/>
      <c r="C57" s="16"/>
      <c r="D57" s="16"/>
      <c r="E57" s="16"/>
      <c r="F57" s="16"/>
      <c r="G57" s="16"/>
      <c r="H57" s="16"/>
      <c r="I57" s="16"/>
      <c r="J57" s="16"/>
      <c r="K57" s="36"/>
      <c r="L57" s="36"/>
      <c r="M57" s="16"/>
      <c r="N57" s="16"/>
      <c r="O57" s="16"/>
      <c r="P57" s="16"/>
      <c r="Q57" s="16"/>
      <c r="R57" s="19"/>
      <c r="S57" s="19"/>
      <c r="T57" s="16"/>
      <c r="U57" s="21"/>
      <c r="V57" s="16"/>
      <c r="W57" s="21"/>
      <c r="X57" s="16"/>
      <c r="Y57" s="21"/>
      <c r="Z57" s="16"/>
      <c r="AA57" s="21">
        <f>Tabela22[[#This Row],[ÚLTIMO SALÁRIO]]*4.1%</f>
        <v>0</v>
      </c>
      <c r="AB57" s="19"/>
      <c r="AC57" s="19"/>
      <c r="AD57" s="19"/>
      <c r="AE57" s="21">
        <f>Tabela22[[#This Row],[SALÁRIO ATUAL]]+Tabela22[[#This Row],[COMPLEMENTO SALARIAL]]+Tabela22[[#This Row],[AJUDA DE CUSTO]]</f>
        <v>0</v>
      </c>
      <c r="AF57" s="16"/>
      <c r="AG57" s="16"/>
      <c r="AH57" s="16"/>
      <c r="AI57" s="16"/>
    </row>
    <row r="58" spans="1:35" hidden="1">
      <c r="A58" s="119"/>
      <c r="B58" s="119"/>
      <c r="C58" s="16"/>
      <c r="D58" s="16"/>
      <c r="E58" s="16"/>
      <c r="F58" s="16"/>
      <c r="G58" s="16"/>
      <c r="H58" s="16"/>
      <c r="I58" s="16"/>
      <c r="J58" s="16"/>
      <c r="K58" s="36"/>
      <c r="L58" s="36"/>
      <c r="M58" s="16"/>
      <c r="N58" s="16"/>
      <c r="O58" s="16"/>
      <c r="P58" s="16"/>
      <c r="Q58" s="16"/>
      <c r="R58" s="19"/>
      <c r="S58" s="19"/>
      <c r="T58" s="16"/>
      <c r="U58" s="21"/>
      <c r="V58" s="16"/>
      <c r="W58" s="21"/>
      <c r="X58" s="16"/>
      <c r="Y58" s="21"/>
      <c r="Z58" s="16"/>
      <c r="AA58" s="21">
        <f>Tabela22[[#This Row],[ÚLTIMO SALÁRIO]]*4.1%</f>
        <v>0</v>
      </c>
      <c r="AB58" s="19"/>
      <c r="AC58" s="19"/>
      <c r="AD58" s="19"/>
      <c r="AE58" s="21">
        <f>Tabela22[[#This Row],[SALÁRIO ATUAL]]+Tabela22[[#This Row],[COMPLEMENTO SALARIAL]]+Tabela22[[#This Row],[AJUDA DE CUSTO]]</f>
        <v>0</v>
      </c>
      <c r="AF58" s="16"/>
      <c r="AG58" s="16"/>
      <c r="AH58" s="16"/>
      <c r="AI58" s="16"/>
    </row>
    <row r="59" spans="1:35" hidden="1">
      <c r="A59" s="120"/>
      <c r="B59" s="120"/>
      <c r="C59" s="16"/>
      <c r="D59" s="16"/>
      <c r="E59" s="16"/>
      <c r="F59" s="16"/>
      <c r="G59" s="16"/>
      <c r="H59" s="16"/>
      <c r="I59" s="16"/>
      <c r="J59" s="16"/>
      <c r="K59" s="36"/>
      <c r="L59" s="36"/>
      <c r="M59" s="16"/>
      <c r="N59" s="16"/>
      <c r="O59" s="16"/>
      <c r="P59" s="16"/>
      <c r="Q59" s="16"/>
      <c r="R59" s="19"/>
      <c r="S59" s="19"/>
      <c r="T59" s="16"/>
      <c r="U59" s="21"/>
      <c r="V59" s="16"/>
      <c r="W59" s="21"/>
      <c r="X59" s="16"/>
      <c r="Y59" s="21"/>
      <c r="Z59" s="16"/>
      <c r="AA59" s="21">
        <f>Tabela22[[#This Row],[ÚLTIMO SALÁRIO]]*4.1%</f>
        <v>0</v>
      </c>
      <c r="AB59" s="19"/>
      <c r="AC59" s="19"/>
      <c r="AD59" s="19"/>
      <c r="AE59" s="21">
        <f>Tabela22[[#This Row],[SALÁRIO ATUAL]]+Tabela22[[#This Row],[COMPLEMENTO SALARIAL]]+Tabela22[[#This Row],[AJUDA DE CUSTO]]</f>
        <v>0</v>
      </c>
      <c r="AF59" s="16"/>
      <c r="AG59" s="16"/>
      <c r="AH59" s="16"/>
      <c r="AI59" s="16"/>
    </row>
    <row r="60" spans="1:35" hidden="1">
      <c r="A60" s="119"/>
      <c r="B60" s="119"/>
      <c r="C60" s="16"/>
      <c r="D60" s="16"/>
      <c r="E60" s="16"/>
      <c r="F60" s="16"/>
      <c r="G60" s="16"/>
      <c r="H60" s="16"/>
      <c r="I60" s="16"/>
      <c r="J60" s="16"/>
      <c r="K60" s="36"/>
      <c r="L60" s="36"/>
      <c r="M60" s="16"/>
      <c r="N60" s="16"/>
      <c r="O60" s="16"/>
      <c r="P60" s="16"/>
      <c r="Q60" s="16"/>
      <c r="R60" s="19"/>
      <c r="S60" s="19"/>
      <c r="T60" s="16"/>
      <c r="U60" s="21"/>
      <c r="V60" s="16"/>
      <c r="W60" s="21"/>
      <c r="X60" s="16"/>
      <c r="Y60" s="21"/>
      <c r="Z60" s="16"/>
      <c r="AA60" s="21">
        <f>Tabela22[[#This Row],[ÚLTIMO SALÁRIO]]*4.1%</f>
        <v>0</v>
      </c>
      <c r="AB60" s="19"/>
      <c r="AC60" s="19"/>
      <c r="AD60" s="19"/>
      <c r="AE60" s="21">
        <f>Tabela22[[#This Row],[SALÁRIO ATUAL]]+Tabela22[[#This Row],[COMPLEMENTO SALARIAL]]+Tabela22[[#This Row],[AJUDA DE CUSTO]]</f>
        <v>0</v>
      </c>
      <c r="AF60" s="16"/>
      <c r="AG60" s="16"/>
      <c r="AH60" s="16"/>
      <c r="AI60" s="16"/>
    </row>
    <row r="61" spans="1:35" hidden="1">
      <c r="A61" s="120"/>
      <c r="B61" s="120"/>
      <c r="C61" s="16"/>
      <c r="D61" s="16"/>
      <c r="E61" s="16"/>
      <c r="F61" s="16"/>
      <c r="G61" s="16"/>
      <c r="H61" s="16"/>
      <c r="I61" s="16"/>
      <c r="J61" s="16"/>
      <c r="K61" s="36"/>
      <c r="L61" s="36"/>
      <c r="M61" s="16"/>
      <c r="N61" s="16"/>
      <c r="O61" s="16"/>
      <c r="P61" s="16"/>
      <c r="Q61" s="16"/>
      <c r="R61" s="19"/>
      <c r="S61" s="19"/>
      <c r="T61" s="16"/>
      <c r="U61" s="21"/>
      <c r="V61" s="16"/>
      <c r="W61" s="21"/>
      <c r="X61" s="16"/>
      <c r="Y61" s="21"/>
      <c r="Z61" s="16"/>
      <c r="AA61" s="21">
        <f>Tabela22[[#This Row],[ÚLTIMO SALÁRIO]]*4.1%</f>
        <v>0</v>
      </c>
      <c r="AB61" s="16"/>
      <c r="AC61" s="16"/>
      <c r="AD61" s="16"/>
      <c r="AE61" s="21">
        <f>Tabela22[[#This Row],[SALÁRIO ATUAL]]+Tabela22[[#This Row],[COMPLEMENTO SALARIAL]]+Tabela22[[#This Row],[AJUDA DE CUSTO]]</f>
        <v>0</v>
      </c>
      <c r="AF61" s="16"/>
      <c r="AG61" s="16"/>
      <c r="AH61" s="16"/>
      <c r="AI61" s="16"/>
    </row>
    <row r="62" spans="1:35" hidden="1">
      <c r="A62" s="119"/>
      <c r="B62" s="119"/>
      <c r="C62" s="16"/>
      <c r="D62" s="16"/>
      <c r="E62" s="16"/>
      <c r="F62" s="16"/>
      <c r="G62" s="16"/>
      <c r="H62" s="16"/>
      <c r="I62" s="16"/>
      <c r="J62" s="16"/>
      <c r="K62" s="36"/>
      <c r="L62" s="36"/>
      <c r="M62" s="16"/>
      <c r="N62" s="16"/>
      <c r="O62" s="16"/>
      <c r="P62" s="16"/>
      <c r="Q62" s="16"/>
      <c r="R62" s="19"/>
      <c r="S62" s="19"/>
      <c r="T62" s="16"/>
      <c r="U62" s="21"/>
      <c r="V62" s="16"/>
      <c r="W62" s="21"/>
      <c r="X62" s="16"/>
      <c r="Y62" s="21"/>
      <c r="Z62" s="16"/>
      <c r="AA62" s="21">
        <f>Tabela22[[#This Row],[ÚLTIMO SALÁRIO]]*4.1%</f>
        <v>0</v>
      </c>
      <c r="AB62" s="16"/>
      <c r="AC62" s="16"/>
      <c r="AD62" s="16"/>
      <c r="AE62" s="21">
        <f>Tabela22[[#This Row],[SALÁRIO ATUAL]]+Tabela22[[#This Row],[COMPLEMENTO SALARIAL]]+Tabela22[[#This Row],[AJUDA DE CUSTO]]</f>
        <v>0</v>
      </c>
      <c r="AF62" s="16"/>
      <c r="AG62" s="16"/>
      <c r="AH62" s="16"/>
      <c r="AI62" s="16"/>
    </row>
    <row r="63" spans="1:35" hidden="1">
      <c r="A63" s="120"/>
      <c r="B63" s="120"/>
      <c r="C63" s="16"/>
      <c r="D63" s="16"/>
      <c r="E63" s="16"/>
      <c r="F63" s="16"/>
      <c r="G63" s="16"/>
      <c r="H63" s="16"/>
      <c r="I63" s="16"/>
      <c r="J63" s="16"/>
      <c r="K63" s="36"/>
      <c r="L63" s="36"/>
      <c r="M63" s="16"/>
      <c r="N63" s="16"/>
      <c r="O63" s="16"/>
      <c r="P63" s="16"/>
      <c r="Q63" s="16"/>
      <c r="R63" s="19"/>
      <c r="S63" s="19"/>
      <c r="T63" s="16"/>
      <c r="U63" s="21"/>
      <c r="V63" s="16"/>
      <c r="W63" s="21"/>
      <c r="X63" s="16"/>
      <c r="Y63" s="21"/>
      <c r="Z63" s="16"/>
      <c r="AA63" s="21">
        <f>Tabela22[[#This Row],[ÚLTIMO SALÁRIO]]*4.1%</f>
        <v>0</v>
      </c>
      <c r="AB63" s="16"/>
      <c r="AC63" s="16"/>
      <c r="AD63" s="16"/>
      <c r="AE63" s="21">
        <f>Tabela22[[#This Row],[SALÁRIO ATUAL]]+Tabela22[[#This Row],[COMPLEMENTO SALARIAL]]+Tabela22[[#This Row],[AJUDA DE CUSTO]]</f>
        <v>0</v>
      </c>
      <c r="AF63" s="16"/>
      <c r="AG63" s="16"/>
      <c r="AH63" s="16"/>
      <c r="AI63" s="16"/>
    </row>
    <row r="64" spans="1:35" hidden="1">
      <c r="A64" s="119"/>
      <c r="B64" s="119"/>
      <c r="C64" s="16"/>
      <c r="D64" s="16"/>
      <c r="E64" s="16"/>
      <c r="F64" s="16"/>
      <c r="G64" s="16"/>
      <c r="H64" s="16"/>
      <c r="I64" s="16"/>
      <c r="J64" s="16"/>
      <c r="K64" s="36"/>
      <c r="L64" s="36"/>
      <c r="M64" s="16"/>
      <c r="N64" s="16"/>
      <c r="O64" s="16"/>
      <c r="P64" s="16"/>
      <c r="Q64" s="16"/>
      <c r="R64" s="19"/>
      <c r="S64" s="19"/>
      <c r="T64" s="16"/>
      <c r="U64" s="21"/>
      <c r="V64" s="16"/>
      <c r="W64" s="21"/>
      <c r="X64" s="16"/>
      <c r="Y64" s="21"/>
      <c r="Z64" s="16"/>
      <c r="AA64" s="21">
        <f>Tabela22[[#This Row],[ÚLTIMO SALÁRIO]]*4.1%</f>
        <v>0</v>
      </c>
      <c r="AB64" s="16"/>
      <c r="AC64" s="16"/>
      <c r="AD64" s="16"/>
      <c r="AE64" s="21">
        <f>Tabela22[[#This Row],[SALÁRIO ATUAL]]+Tabela22[[#This Row],[COMPLEMENTO SALARIAL]]+Tabela22[[#This Row],[AJUDA DE CUSTO]]</f>
        <v>0</v>
      </c>
      <c r="AF64" s="16"/>
      <c r="AG64" s="16"/>
      <c r="AH64" s="16"/>
      <c r="AI64" s="16"/>
    </row>
    <row r="65" spans="1:35" hidden="1">
      <c r="A65" s="120"/>
      <c r="B65" s="120"/>
      <c r="C65" s="16"/>
      <c r="D65" s="16"/>
      <c r="E65" s="16"/>
      <c r="F65" s="16"/>
      <c r="G65" s="16"/>
      <c r="H65" s="16"/>
      <c r="I65" s="16"/>
      <c r="J65" s="16"/>
      <c r="K65" s="36"/>
      <c r="L65" s="36"/>
      <c r="M65" s="16"/>
      <c r="N65" s="16"/>
      <c r="O65" s="16"/>
      <c r="P65" s="16"/>
      <c r="Q65" s="16"/>
      <c r="R65" s="19"/>
      <c r="S65" s="19"/>
      <c r="T65" s="16"/>
      <c r="U65" s="21"/>
      <c r="V65" s="16"/>
      <c r="W65" s="21"/>
      <c r="X65" s="16"/>
      <c r="Y65" s="21"/>
      <c r="Z65" s="16"/>
      <c r="AA65" s="21">
        <f>Tabela22[[#This Row],[ÚLTIMO SALÁRIO]]*4.1%</f>
        <v>0</v>
      </c>
      <c r="AB65" s="16"/>
      <c r="AC65" s="16"/>
      <c r="AD65" s="16"/>
      <c r="AE65" s="21">
        <f>Tabela22[[#This Row],[SALÁRIO ATUAL]]+Tabela22[[#This Row],[COMPLEMENTO SALARIAL]]+Tabela22[[#This Row],[AJUDA DE CUSTO]]</f>
        <v>0</v>
      </c>
      <c r="AF65" s="16"/>
      <c r="AG65" s="16"/>
      <c r="AH65" s="16"/>
      <c r="AI65" s="16"/>
    </row>
    <row r="66" spans="1:35" hidden="1">
      <c r="A66" s="119"/>
      <c r="B66" s="119"/>
      <c r="C66" s="16"/>
      <c r="D66" s="16"/>
      <c r="E66" s="16"/>
      <c r="F66" s="16"/>
      <c r="G66" s="16"/>
      <c r="H66" s="16"/>
      <c r="I66" s="16"/>
      <c r="J66" s="16"/>
      <c r="K66" s="36"/>
      <c r="L66" s="36"/>
      <c r="M66" s="16"/>
      <c r="N66" s="16"/>
      <c r="O66" s="16"/>
      <c r="P66" s="16"/>
      <c r="Q66" s="16"/>
      <c r="R66" s="19"/>
      <c r="S66" s="19"/>
      <c r="T66" s="16"/>
      <c r="U66" s="21"/>
      <c r="V66" s="16"/>
      <c r="W66" s="21"/>
      <c r="X66" s="16"/>
      <c r="Y66" s="21"/>
      <c r="Z66" s="16"/>
      <c r="AA66" s="21">
        <f>Tabela22[[#This Row],[ÚLTIMO SALÁRIO]]*4.1%</f>
        <v>0</v>
      </c>
      <c r="AB66" s="16"/>
      <c r="AC66" s="16"/>
      <c r="AD66" s="16"/>
      <c r="AE66" s="21">
        <f>Tabela22[[#This Row],[SALÁRIO ATUAL]]+Tabela22[[#This Row],[COMPLEMENTO SALARIAL]]+Tabela22[[#This Row],[AJUDA DE CUSTO]]</f>
        <v>0</v>
      </c>
      <c r="AF66" s="16"/>
      <c r="AG66" s="16"/>
      <c r="AH66" s="16"/>
      <c r="AI66" s="16"/>
    </row>
    <row r="67" spans="1:35" hidden="1">
      <c r="A67" s="120"/>
      <c r="B67" s="120"/>
      <c r="C67" s="16"/>
      <c r="D67" s="16"/>
      <c r="E67" s="16"/>
      <c r="F67" s="16"/>
      <c r="G67" s="16"/>
      <c r="H67" s="16"/>
      <c r="I67" s="16"/>
      <c r="J67" s="16"/>
      <c r="K67" s="36"/>
      <c r="L67" s="36"/>
      <c r="M67" s="16"/>
      <c r="N67" s="16"/>
      <c r="O67" s="16"/>
      <c r="P67" s="16"/>
      <c r="Q67" s="16"/>
      <c r="R67" s="19"/>
      <c r="S67" s="19"/>
      <c r="T67" s="16"/>
      <c r="U67" s="21"/>
      <c r="V67" s="16"/>
      <c r="W67" s="21"/>
      <c r="X67" s="16"/>
      <c r="Y67" s="21"/>
      <c r="Z67" s="16"/>
      <c r="AA67" s="21">
        <f>Tabela22[[#This Row],[ÚLTIMO SALÁRIO]]*4.1%</f>
        <v>0</v>
      </c>
      <c r="AB67" s="16"/>
      <c r="AC67" s="16"/>
      <c r="AD67" s="16"/>
      <c r="AE67" s="21">
        <f>Tabela22[[#This Row],[SALÁRIO ATUAL]]+Tabela22[[#This Row],[COMPLEMENTO SALARIAL]]+Tabela22[[#This Row],[AJUDA DE CUSTO]]</f>
        <v>0</v>
      </c>
      <c r="AF67" s="16"/>
      <c r="AG67" s="16"/>
      <c r="AH67" s="16"/>
      <c r="AI67" s="16"/>
    </row>
    <row r="68" spans="1:35" hidden="1">
      <c r="A68" s="119"/>
      <c r="B68" s="119"/>
      <c r="C68" s="16"/>
      <c r="D68" s="16"/>
      <c r="E68" s="16"/>
      <c r="F68" s="16"/>
      <c r="G68" s="16"/>
      <c r="H68" s="16"/>
      <c r="I68" s="16"/>
      <c r="J68" s="16"/>
      <c r="K68" s="36"/>
      <c r="L68" s="36"/>
      <c r="M68" s="16"/>
      <c r="N68" s="16"/>
      <c r="O68" s="16"/>
      <c r="P68" s="16"/>
      <c r="Q68" s="16"/>
      <c r="R68" s="19"/>
      <c r="S68" s="19"/>
      <c r="T68" s="16"/>
      <c r="U68" s="21"/>
      <c r="V68" s="16"/>
      <c r="W68" s="21"/>
      <c r="X68" s="16"/>
      <c r="Y68" s="21"/>
      <c r="Z68" s="16"/>
      <c r="AA68" s="21">
        <f>Tabela22[[#This Row],[ÚLTIMO SALÁRIO]]*4.1%</f>
        <v>0</v>
      </c>
      <c r="AB68" s="16"/>
      <c r="AC68" s="16"/>
      <c r="AD68" s="16"/>
      <c r="AE68" s="21">
        <f>Tabela22[[#This Row],[SALÁRIO ATUAL]]+Tabela22[[#This Row],[COMPLEMENTO SALARIAL]]+Tabela22[[#This Row],[AJUDA DE CUSTO]]</f>
        <v>0</v>
      </c>
      <c r="AF68" s="16"/>
      <c r="AG68" s="16"/>
      <c r="AH68" s="16"/>
      <c r="AI68" s="16"/>
    </row>
    <row r="69" spans="1:35" hidden="1">
      <c r="A69" s="120"/>
      <c r="B69" s="120"/>
      <c r="C69" s="16"/>
      <c r="D69" s="16"/>
      <c r="E69" s="16"/>
      <c r="F69" s="16"/>
      <c r="G69" s="16"/>
      <c r="H69" s="16"/>
      <c r="I69" s="16"/>
      <c r="J69" s="16"/>
      <c r="K69" s="36"/>
      <c r="L69" s="36"/>
      <c r="M69" s="16"/>
      <c r="N69" s="16"/>
      <c r="O69" s="16"/>
      <c r="P69" s="16"/>
      <c r="Q69" s="16"/>
      <c r="R69" s="19"/>
      <c r="S69" s="19"/>
      <c r="T69" s="16"/>
      <c r="U69" s="21"/>
      <c r="V69" s="16"/>
      <c r="W69" s="21"/>
      <c r="X69" s="16"/>
      <c r="Y69" s="21"/>
      <c r="Z69" s="16"/>
      <c r="AA69" s="21">
        <f>Tabela22[[#This Row],[ÚLTIMO SALÁRIO]]*4.1%</f>
        <v>0</v>
      </c>
      <c r="AB69" s="16"/>
      <c r="AC69" s="16"/>
      <c r="AD69" s="16"/>
      <c r="AE69" s="21">
        <f>Tabela22[[#This Row],[SALÁRIO ATUAL]]+Tabela22[[#This Row],[COMPLEMENTO SALARIAL]]+Tabela22[[#This Row],[AJUDA DE CUSTO]]</f>
        <v>0</v>
      </c>
      <c r="AF69" s="16"/>
      <c r="AG69" s="16"/>
      <c r="AH69" s="16"/>
      <c r="AI69" s="16"/>
    </row>
    <row r="70" spans="1:35" hidden="1">
      <c r="A70" s="119"/>
      <c r="B70" s="119"/>
      <c r="C70" s="16"/>
      <c r="D70" s="16"/>
      <c r="E70" s="16"/>
      <c r="F70" s="16"/>
      <c r="G70" s="16"/>
      <c r="H70" s="16"/>
      <c r="I70" s="16"/>
      <c r="J70" s="16"/>
      <c r="K70" s="36"/>
      <c r="L70" s="36"/>
      <c r="M70" s="16"/>
      <c r="N70" s="16"/>
      <c r="O70" s="16"/>
      <c r="P70" s="16"/>
      <c r="Q70" s="16"/>
      <c r="R70" s="19"/>
      <c r="S70" s="19"/>
      <c r="T70" s="16"/>
      <c r="U70" s="21"/>
      <c r="V70" s="16"/>
      <c r="W70" s="21"/>
      <c r="X70" s="16"/>
      <c r="Y70" s="21"/>
      <c r="Z70" s="16"/>
      <c r="AA70" s="21">
        <f>Tabela22[[#This Row],[ÚLTIMO SALÁRIO]]*4.1%</f>
        <v>0</v>
      </c>
      <c r="AB70" s="16"/>
      <c r="AC70" s="16"/>
      <c r="AD70" s="16"/>
      <c r="AE70" s="21">
        <f>Tabela22[[#This Row],[SALÁRIO ATUAL]]+Tabela22[[#This Row],[COMPLEMENTO SALARIAL]]+Tabela22[[#This Row],[AJUDA DE CUSTO]]</f>
        <v>0</v>
      </c>
      <c r="AF70" s="16"/>
      <c r="AG70" s="16"/>
      <c r="AH70" s="16"/>
      <c r="AI70" s="16"/>
    </row>
    <row r="71" spans="1:35" hidden="1">
      <c r="A71" s="120"/>
      <c r="B71" s="120"/>
      <c r="C71" s="16"/>
      <c r="D71" s="16"/>
      <c r="E71" s="16"/>
      <c r="F71" s="16"/>
      <c r="G71" s="16"/>
      <c r="H71" s="16"/>
      <c r="I71" s="16"/>
      <c r="J71" s="16"/>
      <c r="K71" s="36"/>
      <c r="L71" s="36"/>
      <c r="M71" s="16"/>
      <c r="N71" s="16"/>
      <c r="O71" s="16"/>
      <c r="P71" s="16"/>
      <c r="Q71" s="16"/>
      <c r="R71" s="19"/>
      <c r="S71" s="19"/>
      <c r="T71" s="16"/>
      <c r="U71" s="21"/>
      <c r="V71" s="16"/>
      <c r="W71" s="21"/>
      <c r="X71" s="16"/>
      <c r="Y71" s="21"/>
      <c r="Z71" s="16"/>
      <c r="AA71" s="21">
        <f>Tabela22[[#This Row],[ÚLTIMO SALÁRIO]]*4.1%</f>
        <v>0</v>
      </c>
      <c r="AB71" s="16"/>
      <c r="AC71" s="16"/>
      <c r="AD71" s="16"/>
      <c r="AE71" s="21">
        <f>Tabela22[[#This Row],[SALÁRIO ATUAL]]+Tabela22[[#This Row],[COMPLEMENTO SALARIAL]]+Tabela22[[#This Row],[AJUDA DE CUSTO]]</f>
        <v>0</v>
      </c>
      <c r="AF71" s="16"/>
      <c r="AG71" s="16"/>
      <c r="AH71" s="16"/>
      <c r="AI71" s="16"/>
    </row>
    <row r="72" spans="1:35" hidden="1">
      <c r="A72" s="119"/>
      <c r="B72" s="119"/>
      <c r="C72" s="16"/>
      <c r="D72" s="16"/>
      <c r="E72" s="16"/>
      <c r="F72" s="16"/>
      <c r="G72" s="16"/>
      <c r="H72" s="16"/>
      <c r="I72" s="16"/>
      <c r="J72" s="16"/>
      <c r="K72" s="36"/>
      <c r="L72" s="36"/>
      <c r="M72" s="16"/>
      <c r="N72" s="16"/>
      <c r="O72" s="16"/>
      <c r="P72" s="16"/>
      <c r="Q72" s="16"/>
      <c r="R72" s="19"/>
      <c r="S72" s="19"/>
      <c r="T72" s="16"/>
      <c r="U72" s="21"/>
      <c r="V72" s="16"/>
      <c r="W72" s="21"/>
      <c r="X72" s="16"/>
      <c r="Y72" s="21"/>
      <c r="Z72" s="16"/>
      <c r="AA72" s="21">
        <f>Tabela22[[#This Row],[ÚLTIMO SALÁRIO]]*4.1%</f>
        <v>0</v>
      </c>
      <c r="AB72" s="16"/>
      <c r="AC72" s="16"/>
      <c r="AD72" s="16"/>
      <c r="AE72" s="21">
        <f>Tabela22[[#This Row],[SALÁRIO ATUAL]]+Tabela22[[#This Row],[COMPLEMENTO SALARIAL]]+Tabela22[[#This Row],[AJUDA DE CUSTO]]</f>
        <v>0</v>
      </c>
      <c r="AF72" s="16"/>
      <c r="AG72" s="16"/>
      <c r="AH72" s="16"/>
      <c r="AI72" s="16"/>
    </row>
    <row r="73" spans="1:35" hidden="1">
      <c r="A73" s="120"/>
      <c r="B73" s="120"/>
      <c r="C73" s="16"/>
      <c r="D73" s="16"/>
      <c r="E73" s="16"/>
      <c r="F73" s="16"/>
      <c r="G73" s="16"/>
      <c r="H73" s="16"/>
      <c r="I73" s="16"/>
      <c r="J73" s="16"/>
      <c r="K73" s="36"/>
      <c r="L73" s="36"/>
      <c r="M73" s="16"/>
      <c r="N73" s="16"/>
      <c r="O73" s="16"/>
      <c r="P73" s="16"/>
      <c r="Q73" s="16"/>
      <c r="R73" s="19"/>
      <c r="S73" s="19"/>
      <c r="T73" s="16"/>
      <c r="U73" s="21"/>
      <c r="V73" s="16"/>
      <c r="W73" s="21"/>
      <c r="X73" s="16"/>
      <c r="Y73" s="21"/>
      <c r="Z73" s="16"/>
      <c r="AA73" s="21">
        <f>Tabela22[[#This Row],[ÚLTIMO SALÁRIO]]*4.1%</f>
        <v>0</v>
      </c>
      <c r="AB73" s="16"/>
      <c r="AC73" s="16"/>
      <c r="AD73" s="16"/>
      <c r="AE73" s="21">
        <f>Tabela22[[#This Row],[SALÁRIO ATUAL]]+Tabela22[[#This Row],[COMPLEMENTO SALARIAL]]+Tabela22[[#This Row],[AJUDA DE CUSTO]]</f>
        <v>0</v>
      </c>
      <c r="AF73" s="16"/>
      <c r="AG73" s="16"/>
      <c r="AH73" s="16"/>
      <c r="AI73" s="16"/>
    </row>
    <row r="74" spans="1:35" hidden="1">
      <c r="A74" s="119"/>
      <c r="B74" s="119"/>
      <c r="C74" s="16"/>
      <c r="D74" s="16"/>
      <c r="E74" s="16"/>
      <c r="F74" s="16"/>
      <c r="G74" s="16"/>
      <c r="H74" s="16"/>
      <c r="I74" s="16"/>
      <c r="J74" s="16"/>
      <c r="K74" s="36"/>
      <c r="L74" s="36"/>
      <c r="M74" s="16"/>
      <c r="N74" s="16"/>
      <c r="O74" s="16"/>
      <c r="P74" s="16"/>
      <c r="Q74" s="16"/>
      <c r="R74" s="19"/>
      <c r="S74" s="19"/>
      <c r="T74" s="16"/>
      <c r="U74" s="21"/>
      <c r="V74" s="16"/>
      <c r="W74" s="21"/>
      <c r="X74" s="16"/>
      <c r="Y74" s="21"/>
      <c r="Z74" s="16"/>
      <c r="AA74" s="21">
        <f>Tabela22[[#This Row],[ÚLTIMO SALÁRIO]]*4.1%</f>
        <v>0</v>
      </c>
      <c r="AB74" s="16"/>
      <c r="AC74" s="16"/>
      <c r="AD74" s="16"/>
      <c r="AE74" s="21">
        <f>Tabela22[[#This Row],[SALÁRIO ATUAL]]+Tabela22[[#This Row],[COMPLEMENTO SALARIAL]]+Tabela22[[#This Row],[AJUDA DE CUSTO]]</f>
        <v>0</v>
      </c>
      <c r="AF74" s="16"/>
      <c r="AG74" s="16"/>
      <c r="AH74" s="16"/>
      <c r="AI74" s="16"/>
    </row>
    <row r="75" spans="1:35" hidden="1">
      <c r="A75" s="120"/>
      <c r="B75" s="120"/>
      <c r="C75" s="16"/>
      <c r="D75" s="16"/>
      <c r="E75" s="16"/>
      <c r="F75" s="16"/>
      <c r="G75" s="16"/>
      <c r="H75" s="16"/>
      <c r="I75" s="16"/>
      <c r="J75" s="16"/>
      <c r="K75" s="36"/>
      <c r="L75" s="36"/>
      <c r="M75" s="16"/>
      <c r="N75" s="16"/>
      <c r="O75" s="16"/>
      <c r="P75" s="16"/>
      <c r="Q75" s="16"/>
      <c r="R75" s="19"/>
      <c r="S75" s="19"/>
      <c r="T75" s="16"/>
      <c r="U75" s="21"/>
      <c r="V75" s="16"/>
      <c r="W75" s="21"/>
      <c r="X75" s="16"/>
      <c r="Y75" s="21"/>
      <c r="Z75" s="16"/>
      <c r="AA75" s="21">
        <f>Tabela22[[#This Row],[ÚLTIMO SALÁRIO]]*4.1%</f>
        <v>0</v>
      </c>
      <c r="AB75" s="16"/>
      <c r="AC75" s="16"/>
      <c r="AD75" s="16"/>
      <c r="AE75" s="21">
        <f>Tabela22[[#This Row],[SALÁRIO ATUAL]]+Tabela22[[#This Row],[COMPLEMENTO SALARIAL]]+Tabela22[[#This Row],[AJUDA DE CUSTO]]</f>
        <v>0</v>
      </c>
      <c r="AF75" s="16"/>
      <c r="AG75" s="16"/>
      <c r="AH75" s="16"/>
      <c r="AI75" s="16"/>
    </row>
    <row r="76" spans="1:35" hidden="1">
      <c r="A76" s="119"/>
      <c r="B76" s="119"/>
      <c r="C76" s="16"/>
      <c r="D76" s="16"/>
      <c r="E76" s="16"/>
      <c r="F76" s="16"/>
      <c r="G76" s="16"/>
      <c r="H76" s="16"/>
      <c r="I76" s="16"/>
      <c r="J76" s="16"/>
      <c r="K76" s="36"/>
      <c r="L76" s="36"/>
      <c r="M76" s="16"/>
      <c r="N76" s="16"/>
      <c r="O76" s="16"/>
      <c r="P76" s="16"/>
      <c r="Q76" s="16"/>
      <c r="R76" s="19"/>
      <c r="S76" s="19"/>
      <c r="T76" s="16"/>
      <c r="U76" s="21"/>
      <c r="V76" s="16"/>
      <c r="W76" s="21"/>
      <c r="X76" s="16"/>
      <c r="Y76" s="21"/>
      <c r="Z76" s="16"/>
      <c r="AA76" s="21">
        <f>Tabela22[[#This Row],[ÚLTIMO SALÁRIO]]*4.1%</f>
        <v>0</v>
      </c>
      <c r="AB76" s="16"/>
      <c r="AC76" s="16"/>
      <c r="AD76" s="16"/>
      <c r="AE76" s="21">
        <f>Tabela22[[#This Row],[SALÁRIO ATUAL]]+Tabela22[[#This Row],[COMPLEMENTO SALARIAL]]+Tabela22[[#This Row],[AJUDA DE CUSTO]]</f>
        <v>0</v>
      </c>
      <c r="AF76" s="16"/>
      <c r="AG76" s="16"/>
      <c r="AH76" s="16"/>
      <c r="AI76" s="16"/>
    </row>
    <row r="77" spans="1:35" hidden="1">
      <c r="A77" s="120"/>
      <c r="B77" s="120"/>
      <c r="C77" s="16"/>
      <c r="D77" s="16"/>
      <c r="E77" s="16"/>
      <c r="F77" s="16"/>
      <c r="G77" s="16"/>
      <c r="H77" s="16"/>
      <c r="I77" s="16"/>
      <c r="J77" s="16"/>
      <c r="K77" s="36"/>
      <c r="L77" s="36"/>
      <c r="M77" s="16"/>
      <c r="N77" s="16"/>
      <c r="O77" s="16"/>
      <c r="P77" s="16"/>
      <c r="Q77" s="16"/>
      <c r="R77" s="19"/>
      <c r="S77" s="19"/>
      <c r="T77" s="16"/>
      <c r="U77" s="21"/>
      <c r="V77" s="16"/>
      <c r="W77" s="21"/>
      <c r="X77" s="16"/>
      <c r="Y77" s="21"/>
      <c r="Z77" s="16"/>
      <c r="AA77" s="21">
        <f>Tabela22[[#This Row],[ÚLTIMO SALÁRIO]]*4.1%</f>
        <v>0</v>
      </c>
      <c r="AB77" s="16"/>
      <c r="AC77" s="16"/>
      <c r="AD77" s="16"/>
      <c r="AE77" s="21">
        <f>Tabela22[[#This Row],[SALÁRIO ATUAL]]+Tabela22[[#This Row],[COMPLEMENTO SALARIAL]]+Tabela22[[#This Row],[AJUDA DE CUSTO]]</f>
        <v>0</v>
      </c>
      <c r="AF77" s="16"/>
      <c r="AG77" s="16"/>
      <c r="AH77" s="16"/>
      <c r="AI77" s="16"/>
    </row>
    <row r="78" spans="1:35" hidden="1">
      <c r="A78" s="119"/>
      <c r="B78" s="119"/>
      <c r="C78" s="16"/>
      <c r="D78" s="16"/>
      <c r="E78" s="16"/>
      <c r="F78" s="16"/>
      <c r="G78" s="16"/>
      <c r="H78" s="16"/>
      <c r="I78" s="16"/>
      <c r="J78" s="16"/>
      <c r="K78" s="36"/>
      <c r="L78" s="36"/>
      <c r="M78" s="16"/>
      <c r="N78" s="16"/>
      <c r="O78" s="16"/>
      <c r="P78" s="16"/>
      <c r="Q78" s="16"/>
      <c r="R78" s="19"/>
      <c r="S78" s="19"/>
      <c r="T78" s="16"/>
      <c r="U78" s="21"/>
      <c r="V78" s="16"/>
      <c r="W78" s="21"/>
      <c r="X78" s="16"/>
      <c r="Y78" s="21"/>
      <c r="Z78" s="16"/>
      <c r="AA78" s="21">
        <f>Tabela22[[#This Row],[ÚLTIMO SALÁRIO]]*4.1%</f>
        <v>0</v>
      </c>
      <c r="AB78" s="16"/>
      <c r="AC78" s="16"/>
      <c r="AD78" s="16"/>
      <c r="AE78" s="21">
        <f>Tabela22[[#This Row],[SALÁRIO ATUAL]]+Tabela22[[#This Row],[COMPLEMENTO SALARIAL]]+Tabela22[[#This Row],[AJUDA DE CUSTO]]</f>
        <v>0</v>
      </c>
      <c r="AF78" s="16"/>
      <c r="AG78" s="16"/>
      <c r="AH78" s="16"/>
      <c r="AI78" s="16"/>
    </row>
    <row r="79" spans="1:35" hidden="1">
      <c r="A79" s="120"/>
      <c r="B79" s="120"/>
      <c r="C79" s="16"/>
      <c r="D79" s="16"/>
      <c r="E79" s="16"/>
      <c r="F79" s="16"/>
      <c r="G79" s="16"/>
      <c r="H79" s="16"/>
      <c r="I79" s="16"/>
      <c r="J79" s="16"/>
      <c r="K79" s="36"/>
      <c r="L79" s="36"/>
      <c r="M79" s="16"/>
      <c r="N79" s="16"/>
      <c r="O79" s="16"/>
      <c r="P79" s="16"/>
      <c r="Q79" s="16"/>
      <c r="R79" s="19"/>
      <c r="S79" s="19"/>
      <c r="T79" s="16"/>
      <c r="U79" s="21"/>
      <c r="V79" s="16"/>
      <c r="W79" s="21"/>
      <c r="X79" s="16"/>
      <c r="Y79" s="21"/>
      <c r="Z79" s="16"/>
      <c r="AA79" s="21">
        <f>Tabela22[[#This Row],[ÚLTIMO SALÁRIO]]*4.1%</f>
        <v>0</v>
      </c>
      <c r="AB79" s="16"/>
      <c r="AC79" s="16"/>
      <c r="AD79" s="16"/>
      <c r="AE79" s="21">
        <f>Tabela22[[#This Row],[SALÁRIO ATUAL]]+Tabela22[[#This Row],[COMPLEMENTO SALARIAL]]+Tabela22[[#This Row],[AJUDA DE CUSTO]]</f>
        <v>0</v>
      </c>
      <c r="AF79" s="16"/>
      <c r="AG79" s="16"/>
      <c r="AH79" s="16"/>
      <c r="AI79" s="16"/>
    </row>
    <row r="80" spans="1:35" hidden="1">
      <c r="A80" s="119"/>
      <c r="B80" s="119"/>
      <c r="C80" s="16"/>
      <c r="D80" s="16"/>
      <c r="E80" s="16"/>
      <c r="F80" s="16"/>
      <c r="G80" s="16"/>
      <c r="H80" s="16"/>
      <c r="I80" s="16"/>
      <c r="J80" s="16"/>
      <c r="K80" s="36"/>
      <c r="L80" s="36"/>
      <c r="M80" s="16"/>
      <c r="N80" s="16"/>
      <c r="O80" s="16"/>
      <c r="P80" s="16"/>
      <c r="Q80" s="16"/>
      <c r="R80" s="19"/>
      <c r="S80" s="19"/>
      <c r="T80" s="16"/>
      <c r="U80" s="21"/>
      <c r="V80" s="16"/>
      <c r="W80" s="21"/>
      <c r="X80" s="16"/>
      <c r="Y80" s="21"/>
      <c r="Z80" s="16"/>
      <c r="AA80" s="21">
        <f>Tabela22[[#This Row],[ÚLTIMO SALÁRIO]]*4.1%</f>
        <v>0</v>
      </c>
      <c r="AB80" s="16"/>
      <c r="AC80" s="16"/>
      <c r="AD80" s="16"/>
      <c r="AE80" s="21">
        <f>Tabela22[[#This Row],[SALÁRIO ATUAL]]+Tabela22[[#This Row],[COMPLEMENTO SALARIAL]]+Tabela22[[#This Row],[AJUDA DE CUSTO]]</f>
        <v>0</v>
      </c>
      <c r="AF80" s="16"/>
      <c r="AG80" s="16"/>
      <c r="AH80" s="16"/>
      <c r="AI80" s="16"/>
    </row>
    <row r="81" spans="1:35" hidden="1">
      <c r="A81" s="120"/>
      <c r="B81" s="120"/>
      <c r="C81" s="16"/>
      <c r="D81" s="16"/>
      <c r="E81" s="16"/>
      <c r="F81" s="16"/>
      <c r="G81" s="16"/>
      <c r="H81" s="16"/>
      <c r="I81" s="16"/>
      <c r="J81" s="16"/>
      <c r="K81" s="36"/>
      <c r="L81" s="36"/>
      <c r="M81" s="16"/>
      <c r="N81" s="16"/>
      <c r="O81" s="16"/>
      <c r="P81" s="16"/>
      <c r="Q81" s="16"/>
      <c r="R81" s="19"/>
      <c r="S81" s="19"/>
      <c r="T81" s="16"/>
      <c r="U81" s="21"/>
      <c r="V81" s="16"/>
      <c r="W81" s="21"/>
      <c r="X81" s="16"/>
      <c r="Y81" s="21"/>
      <c r="Z81" s="16"/>
      <c r="AA81" s="21">
        <f>Tabela22[[#This Row],[ÚLTIMO SALÁRIO]]*4.1%</f>
        <v>0</v>
      </c>
      <c r="AB81" s="16"/>
      <c r="AC81" s="16"/>
      <c r="AD81" s="16"/>
      <c r="AE81" s="21">
        <f>Tabela22[[#This Row],[SALÁRIO ATUAL]]+Tabela22[[#This Row],[COMPLEMENTO SALARIAL]]+Tabela22[[#This Row],[AJUDA DE CUSTO]]</f>
        <v>0</v>
      </c>
      <c r="AF81" s="16"/>
      <c r="AG81" s="16"/>
      <c r="AH81" s="16"/>
      <c r="AI81" s="16"/>
    </row>
    <row r="82" spans="1:35" hidden="1">
      <c r="A82" s="119"/>
      <c r="B82" s="119"/>
      <c r="C82" s="16"/>
      <c r="D82" s="16"/>
      <c r="E82" s="16"/>
      <c r="F82" s="16"/>
      <c r="G82" s="16"/>
      <c r="H82" s="16"/>
      <c r="I82" s="16"/>
      <c r="J82" s="16"/>
      <c r="K82" s="36"/>
      <c r="L82" s="36"/>
      <c r="M82" s="16"/>
      <c r="N82" s="16"/>
      <c r="O82" s="16"/>
      <c r="P82" s="16"/>
      <c r="Q82" s="16"/>
      <c r="R82" s="19"/>
      <c r="S82" s="19"/>
      <c r="T82" s="16"/>
      <c r="U82" s="21"/>
      <c r="V82" s="16"/>
      <c r="W82" s="21"/>
      <c r="X82" s="16"/>
      <c r="Y82" s="21"/>
      <c r="Z82" s="16"/>
      <c r="AA82" s="21">
        <f>Tabela22[[#This Row],[ÚLTIMO SALÁRIO]]*4.1%</f>
        <v>0</v>
      </c>
      <c r="AB82" s="16"/>
      <c r="AC82" s="16"/>
      <c r="AD82" s="16"/>
      <c r="AE82" s="21">
        <f>Tabela22[[#This Row],[SALÁRIO ATUAL]]+Tabela22[[#This Row],[COMPLEMENTO SALARIAL]]+Tabela22[[#This Row],[AJUDA DE CUSTO]]</f>
        <v>0</v>
      </c>
      <c r="AF82" s="16"/>
      <c r="AG82" s="16"/>
      <c r="AH82" s="16"/>
      <c r="AI82" s="16"/>
    </row>
    <row r="83" spans="1:35" hidden="1">
      <c r="A83" s="120"/>
      <c r="B83" s="120"/>
      <c r="C83" s="16"/>
      <c r="D83" s="16"/>
      <c r="E83" s="16"/>
      <c r="F83" s="16"/>
      <c r="G83" s="16"/>
      <c r="H83" s="16"/>
      <c r="I83" s="16"/>
      <c r="J83" s="16"/>
      <c r="K83" s="36"/>
      <c r="L83" s="36"/>
      <c r="M83" s="16"/>
      <c r="N83" s="16"/>
      <c r="O83" s="16"/>
      <c r="P83" s="16"/>
      <c r="Q83" s="16"/>
      <c r="R83" s="19"/>
      <c r="S83" s="19"/>
      <c r="T83" s="16"/>
      <c r="U83" s="21"/>
      <c r="V83" s="16"/>
      <c r="W83" s="21"/>
      <c r="X83" s="16"/>
      <c r="Y83" s="21"/>
      <c r="Z83" s="16"/>
      <c r="AA83" s="21">
        <f>Tabela22[[#This Row],[ÚLTIMO SALÁRIO]]*4.1%</f>
        <v>0</v>
      </c>
      <c r="AB83" s="16"/>
      <c r="AC83" s="16"/>
      <c r="AD83" s="16"/>
      <c r="AE83" s="21">
        <f>Tabela22[[#This Row],[SALÁRIO ATUAL]]+Tabela22[[#This Row],[COMPLEMENTO SALARIAL]]+Tabela22[[#This Row],[AJUDA DE CUSTO]]</f>
        <v>0</v>
      </c>
      <c r="AF83" s="16"/>
      <c r="AG83" s="16"/>
      <c r="AH83" s="16"/>
      <c r="AI83" s="16"/>
    </row>
    <row r="84" spans="1:35" hidden="1">
      <c r="A84" s="119"/>
      <c r="B84" s="119"/>
      <c r="C84" s="16"/>
      <c r="D84" s="16"/>
      <c r="E84" s="16"/>
      <c r="F84" s="16"/>
      <c r="G84" s="16"/>
      <c r="H84" s="16"/>
      <c r="I84" s="16"/>
      <c r="J84" s="16"/>
      <c r="K84" s="36"/>
      <c r="L84" s="36"/>
      <c r="M84" s="16"/>
      <c r="N84" s="16"/>
      <c r="O84" s="16"/>
      <c r="P84" s="16"/>
      <c r="Q84" s="16"/>
      <c r="R84" s="19"/>
      <c r="S84" s="19"/>
      <c r="T84" s="16"/>
      <c r="U84" s="21"/>
      <c r="V84" s="16"/>
      <c r="W84" s="21"/>
      <c r="X84" s="16"/>
      <c r="Y84" s="21"/>
      <c r="Z84" s="16"/>
      <c r="AA84" s="21">
        <f>Tabela22[[#This Row],[ÚLTIMO SALÁRIO]]*4.1%</f>
        <v>0</v>
      </c>
      <c r="AB84" s="16"/>
      <c r="AC84" s="16"/>
      <c r="AD84" s="16"/>
      <c r="AE84" s="21">
        <f>Tabela22[[#This Row],[SALÁRIO ATUAL]]+Tabela22[[#This Row],[COMPLEMENTO SALARIAL]]+Tabela22[[#This Row],[AJUDA DE CUSTO]]</f>
        <v>0</v>
      </c>
      <c r="AF84" s="16"/>
      <c r="AG84" s="16"/>
      <c r="AH84" s="16"/>
      <c r="AI84" s="16"/>
    </row>
    <row r="85" spans="1:35" hidden="1">
      <c r="A85" s="120"/>
      <c r="B85" s="120"/>
      <c r="C85" s="16"/>
      <c r="D85" s="16"/>
      <c r="E85" s="16"/>
      <c r="F85" s="16"/>
      <c r="G85" s="16"/>
      <c r="H85" s="16"/>
      <c r="I85" s="16"/>
      <c r="J85" s="16"/>
      <c r="K85" s="36"/>
      <c r="L85" s="36"/>
      <c r="M85" s="16"/>
      <c r="N85" s="16"/>
      <c r="O85" s="16"/>
      <c r="P85" s="16"/>
      <c r="Q85" s="16"/>
      <c r="R85" s="19"/>
      <c r="S85" s="19"/>
      <c r="T85" s="16"/>
      <c r="U85" s="21"/>
      <c r="V85" s="16"/>
      <c r="W85" s="21"/>
      <c r="X85" s="16"/>
      <c r="Y85" s="21"/>
      <c r="Z85" s="16"/>
      <c r="AA85" s="21">
        <f>Tabela22[[#This Row],[ÚLTIMO SALÁRIO]]*4.1%</f>
        <v>0</v>
      </c>
      <c r="AB85" s="16"/>
      <c r="AC85" s="16"/>
      <c r="AD85" s="16"/>
      <c r="AE85" s="21">
        <f>Tabela22[[#This Row],[SALÁRIO ATUAL]]+Tabela22[[#This Row],[COMPLEMENTO SALARIAL]]+Tabela22[[#This Row],[AJUDA DE CUSTO]]</f>
        <v>0</v>
      </c>
      <c r="AF85" s="16"/>
      <c r="AG85" s="16"/>
      <c r="AH85" s="16"/>
      <c r="AI85" s="16"/>
    </row>
    <row r="86" spans="1:35" hidden="1">
      <c r="A86" s="119"/>
      <c r="B86" s="119"/>
      <c r="C86" s="16"/>
      <c r="D86" s="16"/>
      <c r="E86" s="16"/>
      <c r="F86" s="16"/>
      <c r="G86" s="16"/>
      <c r="H86" s="16"/>
      <c r="I86" s="16"/>
      <c r="J86" s="16"/>
      <c r="K86" s="36"/>
      <c r="L86" s="36"/>
      <c r="M86" s="16"/>
      <c r="N86" s="16"/>
      <c r="O86" s="16"/>
      <c r="P86" s="16"/>
      <c r="Q86" s="16"/>
      <c r="R86" s="19"/>
      <c r="S86" s="19"/>
      <c r="T86" s="16"/>
      <c r="U86" s="21"/>
      <c r="V86" s="16"/>
      <c r="W86" s="21"/>
      <c r="X86" s="16"/>
      <c r="Y86" s="21"/>
      <c r="Z86" s="16"/>
      <c r="AA86" s="21">
        <f>Tabela22[[#This Row],[ÚLTIMO SALÁRIO]]*4.1%</f>
        <v>0</v>
      </c>
      <c r="AB86" s="16"/>
      <c r="AC86" s="16"/>
      <c r="AD86" s="16"/>
      <c r="AE86" s="21">
        <f>Tabela22[[#This Row],[SALÁRIO ATUAL]]+Tabela22[[#This Row],[COMPLEMENTO SALARIAL]]+Tabela22[[#This Row],[AJUDA DE CUSTO]]</f>
        <v>0</v>
      </c>
      <c r="AF86" s="16"/>
      <c r="AG86" s="16"/>
      <c r="AH86" s="16"/>
      <c r="AI86" s="16"/>
    </row>
    <row r="87" spans="1:35" hidden="1">
      <c r="A87" s="120"/>
      <c r="B87" s="120"/>
      <c r="C87" s="16"/>
      <c r="D87" s="16"/>
      <c r="E87" s="16"/>
      <c r="F87" s="16"/>
      <c r="G87" s="16"/>
      <c r="H87" s="16"/>
      <c r="I87" s="16"/>
      <c r="J87" s="16"/>
      <c r="K87" s="36"/>
      <c r="L87" s="36"/>
      <c r="M87" s="16"/>
      <c r="N87" s="16"/>
      <c r="O87" s="16"/>
      <c r="P87" s="16"/>
      <c r="Q87" s="16"/>
      <c r="R87" s="19"/>
      <c r="S87" s="19"/>
      <c r="T87" s="16"/>
      <c r="U87" s="21"/>
      <c r="V87" s="16"/>
      <c r="W87" s="21"/>
      <c r="X87" s="16"/>
      <c r="Y87" s="21"/>
      <c r="Z87" s="16"/>
      <c r="AA87" s="21">
        <f>Tabela22[[#This Row],[ÚLTIMO SALÁRIO]]*4.1%</f>
        <v>0</v>
      </c>
      <c r="AB87" s="16"/>
      <c r="AC87" s="16"/>
      <c r="AD87" s="16"/>
      <c r="AE87" s="21">
        <f>Tabela22[[#This Row],[SALÁRIO ATUAL]]+Tabela22[[#This Row],[COMPLEMENTO SALARIAL]]+Tabela22[[#This Row],[AJUDA DE CUSTO]]</f>
        <v>0</v>
      </c>
      <c r="AF87" s="16"/>
      <c r="AG87" s="16"/>
      <c r="AH87" s="16"/>
      <c r="AI87" s="16"/>
    </row>
    <row r="88" spans="1:35" hidden="1">
      <c r="A88" s="119"/>
      <c r="B88" s="119"/>
      <c r="C88" s="16"/>
      <c r="D88" s="16"/>
      <c r="E88" s="16"/>
      <c r="F88" s="16"/>
      <c r="G88" s="16"/>
      <c r="H88" s="16"/>
      <c r="I88" s="16"/>
      <c r="J88" s="16"/>
      <c r="K88" s="36"/>
      <c r="L88" s="36"/>
      <c r="M88" s="16"/>
      <c r="N88" s="16"/>
      <c r="O88" s="16"/>
      <c r="P88" s="16"/>
      <c r="Q88" s="16"/>
      <c r="R88" s="19"/>
      <c r="S88" s="19"/>
      <c r="T88" s="16"/>
      <c r="U88" s="21"/>
      <c r="V88" s="16"/>
      <c r="W88" s="21"/>
      <c r="X88" s="16"/>
      <c r="Y88" s="21"/>
      <c r="Z88" s="16"/>
      <c r="AA88" s="21">
        <f>Tabela22[[#This Row],[ÚLTIMO SALÁRIO]]*4.1%</f>
        <v>0</v>
      </c>
      <c r="AB88" s="16"/>
      <c r="AC88" s="16"/>
      <c r="AD88" s="16"/>
      <c r="AE88" s="21">
        <f>Tabela22[[#This Row],[SALÁRIO ATUAL]]+Tabela22[[#This Row],[COMPLEMENTO SALARIAL]]+Tabela22[[#This Row],[AJUDA DE CUSTO]]</f>
        <v>0</v>
      </c>
      <c r="AF88" s="16"/>
      <c r="AG88" s="16"/>
      <c r="AH88" s="16"/>
      <c r="AI88" s="16"/>
    </row>
    <row r="89" spans="1:35" hidden="1">
      <c r="A89" s="120"/>
      <c r="B89" s="120"/>
      <c r="C89" s="16"/>
      <c r="D89" s="16"/>
      <c r="E89" s="16"/>
      <c r="F89" s="16"/>
      <c r="G89" s="16"/>
      <c r="H89" s="16"/>
      <c r="I89" s="16"/>
      <c r="J89" s="16"/>
      <c r="K89" s="36"/>
      <c r="L89" s="36"/>
      <c r="M89" s="16"/>
      <c r="N89" s="16"/>
      <c r="O89" s="16"/>
      <c r="P89" s="16"/>
      <c r="Q89" s="16"/>
      <c r="R89" s="19"/>
      <c r="S89" s="19"/>
      <c r="T89" s="16"/>
      <c r="U89" s="21"/>
      <c r="V89" s="16"/>
      <c r="W89" s="21"/>
      <c r="X89" s="16"/>
      <c r="Y89" s="21"/>
      <c r="Z89" s="16"/>
      <c r="AA89" s="21">
        <f>Tabela22[[#This Row],[ÚLTIMO SALÁRIO]]*4.1%</f>
        <v>0</v>
      </c>
      <c r="AB89" s="16"/>
      <c r="AC89" s="16"/>
      <c r="AD89" s="16"/>
      <c r="AE89" s="21">
        <f>Tabela22[[#This Row],[SALÁRIO ATUAL]]+Tabela22[[#This Row],[COMPLEMENTO SALARIAL]]+Tabela22[[#This Row],[AJUDA DE CUSTO]]</f>
        <v>0</v>
      </c>
      <c r="AF89" s="16"/>
      <c r="AG89" s="16"/>
      <c r="AH89" s="16"/>
      <c r="AI89" s="16"/>
    </row>
    <row r="90" spans="1:35" hidden="1">
      <c r="A90" s="119"/>
      <c r="B90" s="119"/>
      <c r="C90" s="16"/>
      <c r="D90" s="16"/>
      <c r="E90" s="16"/>
      <c r="F90" s="16"/>
      <c r="G90" s="16"/>
      <c r="H90" s="16"/>
      <c r="I90" s="16"/>
      <c r="J90" s="16"/>
      <c r="K90" s="36"/>
      <c r="L90" s="36"/>
      <c r="M90" s="16"/>
      <c r="N90" s="16"/>
      <c r="O90" s="16"/>
      <c r="P90" s="16"/>
      <c r="Q90" s="16"/>
      <c r="R90" s="19"/>
      <c r="S90" s="19"/>
      <c r="T90" s="16"/>
      <c r="U90" s="21"/>
      <c r="V90" s="16"/>
      <c r="W90" s="21"/>
      <c r="X90" s="16"/>
      <c r="Y90" s="21"/>
      <c r="Z90" s="16"/>
      <c r="AA90" s="21">
        <f>Tabela22[[#This Row],[ÚLTIMO SALÁRIO]]*4.1%</f>
        <v>0</v>
      </c>
      <c r="AB90" s="16"/>
      <c r="AC90" s="16"/>
      <c r="AD90" s="16"/>
      <c r="AE90" s="21">
        <f>Tabela22[[#This Row],[SALÁRIO ATUAL]]+Tabela22[[#This Row],[COMPLEMENTO SALARIAL]]+Tabela22[[#This Row],[AJUDA DE CUSTO]]</f>
        <v>0</v>
      </c>
      <c r="AF90" s="16"/>
      <c r="AG90" s="16"/>
      <c r="AH90" s="16"/>
      <c r="AI90" s="16"/>
    </row>
    <row r="91" spans="1:35" hidden="1">
      <c r="A91" s="120"/>
      <c r="B91" s="120"/>
      <c r="C91" s="16"/>
      <c r="D91" s="16"/>
      <c r="E91" s="16"/>
      <c r="F91" s="16"/>
      <c r="G91" s="16"/>
      <c r="H91" s="16"/>
      <c r="I91" s="16"/>
      <c r="J91" s="16"/>
      <c r="K91" s="36"/>
      <c r="L91" s="36"/>
      <c r="M91" s="16"/>
      <c r="N91" s="16"/>
      <c r="O91" s="16"/>
      <c r="P91" s="16"/>
      <c r="Q91" s="16"/>
      <c r="R91" s="19"/>
      <c r="S91" s="19"/>
      <c r="T91" s="16"/>
      <c r="U91" s="21"/>
      <c r="V91" s="16"/>
      <c r="W91" s="21"/>
      <c r="X91" s="16"/>
      <c r="Y91" s="21"/>
      <c r="Z91" s="16"/>
      <c r="AA91" s="21">
        <f>Tabela22[[#This Row],[ÚLTIMO SALÁRIO]]*4.1%</f>
        <v>0</v>
      </c>
      <c r="AB91" s="16"/>
      <c r="AC91" s="16"/>
      <c r="AD91" s="16"/>
      <c r="AE91" s="21">
        <f>Tabela22[[#This Row],[SALÁRIO ATUAL]]+Tabela22[[#This Row],[COMPLEMENTO SALARIAL]]+Tabela22[[#This Row],[AJUDA DE CUSTO]]</f>
        <v>0</v>
      </c>
      <c r="AF91" s="16"/>
      <c r="AG91" s="16"/>
      <c r="AH91" s="16"/>
      <c r="AI91" s="16"/>
    </row>
    <row r="92" spans="1:35" hidden="1">
      <c r="A92" s="119"/>
      <c r="B92" s="119"/>
      <c r="C92" s="16"/>
      <c r="D92" s="16"/>
      <c r="E92" s="16"/>
      <c r="F92" s="16"/>
      <c r="G92" s="16"/>
      <c r="H92" s="16"/>
      <c r="I92" s="16"/>
      <c r="J92" s="16"/>
      <c r="K92" s="36"/>
      <c r="L92" s="36"/>
      <c r="M92" s="16"/>
      <c r="N92" s="16"/>
      <c r="O92" s="16"/>
      <c r="P92" s="16"/>
      <c r="Q92" s="16"/>
      <c r="R92" s="19"/>
      <c r="S92" s="19"/>
      <c r="T92" s="16"/>
      <c r="U92" s="21"/>
      <c r="V92" s="16"/>
      <c r="W92" s="21"/>
      <c r="X92" s="16"/>
      <c r="Y92" s="21"/>
      <c r="Z92" s="16"/>
      <c r="AA92" s="21">
        <f>Tabela22[[#This Row],[ÚLTIMO SALÁRIO]]*4.1%</f>
        <v>0</v>
      </c>
      <c r="AB92" s="16"/>
      <c r="AC92" s="16"/>
      <c r="AD92" s="16"/>
      <c r="AE92" s="21">
        <f>Tabela22[[#This Row],[SALÁRIO ATUAL]]+Tabela22[[#This Row],[COMPLEMENTO SALARIAL]]+Tabela22[[#This Row],[AJUDA DE CUSTO]]</f>
        <v>0</v>
      </c>
      <c r="AF92" s="16"/>
      <c r="AG92" s="16"/>
      <c r="AH92" s="16"/>
      <c r="AI92" s="16"/>
    </row>
    <row r="93" spans="1:35" hidden="1">
      <c r="A93" s="120"/>
      <c r="B93" s="120"/>
      <c r="C93" s="16"/>
      <c r="D93" s="16"/>
      <c r="E93" s="16"/>
      <c r="F93" s="16"/>
      <c r="G93" s="16"/>
      <c r="H93" s="16"/>
      <c r="I93" s="16"/>
      <c r="J93" s="16"/>
      <c r="K93" s="36"/>
      <c r="L93" s="36"/>
      <c r="M93" s="16"/>
      <c r="N93" s="16"/>
      <c r="O93" s="16"/>
      <c r="P93" s="16"/>
      <c r="Q93" s="16"/>
      <c r="R93" s="19"/>
      <c r="S93" s="19"/>
      <c r="T93" s="16"/>
      <c r="U93" s="21"/>
      <c r="V93" s="16"/>
      <c r="W93" s="21"/>
      <c r="X93" s="16"/>
      <c r="Y93" s="21"/>
      <c r="Z93" s="16"/>
      <c r="AA93" s="21">
        <f>Tabela22[[#This Row],[ÚLTIMO SALÁRIO]]*4.1%</f>
        <v>0</v>
      </c>
      <c r="AB93" s="16"/>
      <c r="AC93" s="16"/>
      <c r="AD93" s="16"/>
      <c r="AE93" s="21">
        <f>Tabela22[[#This Row],[SALÁRIO ATUAL]]+Tabela22[[#This Row],[COMPLEMENTO SALARIAL]]+Tabela22[[#This Row],[AJUDA DE CUSTO]]</f>
        <v>0</v>
      </c>
      <c r="AF93" s="16"/>
      <c r="AG93" s="16"/>
      <c r="AH93" s="16"/>
      <c r="AI93" s="16"/>
    </row>
    <row r="94" spans="1:35" hidden="1">
      <c r="A94" s="119"/>
      <c r="B94" s="119"/>
      <c r="C94" s="16"/>
      <c r="D94" s="16"/>
      <c r="E94" s="16"/>
      <c r="F94" s="16"/>
      <c r="G94" s="16"/>
      <c r="H94" s="16"/>
      <c r="I94" s="16"/>
      <c r="J94" s="16"/>
      <c r="K94" s="36"/>
      <c r="L94" s="36"/>
      <c r="M94" s="16"/>
      <c r="N94" s="16"/>
      <c r="O94" s="16"/>
      <c r="P94" s="16"/>
      <c r="Q94" s="16"/>
      <c r="R94" s="19"/>
      <c r="S94" s="19"/>
      <c r="T94" s="16"/>
      <c r="U94" s="21"/>
      <c r="V94" s="16"/>
      <c r="W94" s="21"/>
      <c r="X94" s="16"/>
      <c r="Y94" s="21"/>
      <c r="Z94" s="16"/>
      <c r="AA94" s="21">
        <f>Tabela22[[#This Row],[ÚLTIMO SALÁRIO]]*4.1%</f>
        <v>0</v>
      </c>
      <c r="AB94" s="16"/>
      <c r="AC94" s="16"/>
      <c r="AD94" s="16"/>
      <c r="AE94" s="21">
        <f>Tabela22[[#This Row],[SALÁRIO ATUAL]]+Tabela22[[#This Row],[COMPLEMENTO SALARIAL]]+Tabela22[[#This Row],[AJUDA DE CUSTO]]</f>
        <v>0</v>
      </c>
      <c r="AF94" s="16"/>
      <c r="AG94" s="16"/>
      <c r="AH94" s="16"/>
      <c r="AI94" s="16"/>
    </row>
    <row r="95" spans="1:35" hidden="1">
      <c r="A95" s="120"/>
      <c r="B95" s="120"/>
      <c r="C95" s="16"/>
      <c r="D95" s="16"/>
      <c r="E95" s="16"/>
      <c r="F95" s="16"/>
      <c r="G95" s="16"/>
      <c r="H95" s="16"/>
      <c r="I95" s="16"/>
      <c r="J95" s="16"/>
      <c r="K95" s="36"/>
      <c r="L95" s="36"/>
      <c r="M95" s="16"/>
      <c r="N95" s="16"/>
      <c r="O95" s="16"/>
      <c r="P95" s="16"/>
      <c r="Q95" s="16"/>
      <c r="R95" s="19"/>
      <c r="S95" s="19"/>
      <c r="T95" s="16"/>
      <c r="U95" s="21"/>
      <c r="V95" s="16"/>
      <c r="W95" s="21"/>
      <c r="X95" s="16"/>
      <c r="Y95" s="21"/>
      <c r="Z95" s="16"/>
      <c r="AA95" s="21">
        <f>Tabela22[[#This Row],[ÚLTIMO SALÁRIO]]*4.1%</f>
        <v>0</v>
      </c>
      <c r="AB95" s="16"/>
      <c r="AC95" s="16"/>
      <c r="AD95" s="16"/>
      <c r="AE95" s="21">
        <f>Tabela22[[#This Row],[SALÁRIO ATUAL]]+Tabela22[[#This Row],[COMPLEMENTO SALARIAL]]+Tabela22[[#This Row],[AJUDA DE CUSTO]]</f>
        <v>0</v>
      </c>
      <c r="AF95" s="16"/>
      <c r="AG95" s="16"/>
      <c r="AH95" s="16"/>
      <c r="AI95" s="16"/>
    </row>
    <row r="96" spans="1:35" hidden="1">
      <c r="A96" s="119"/>
      <c r="B96" s="119"/>
      <c r="C96" s="16"/>
      <c r="D96" s="16"/>
      <c r="E96" s="16"/>
      <c r="F96" s="16"/>
      <c r="G96" s="16"/>
      <c r="H96" s="16"/>
      <c r="I96" s="16"/>
      <c r="J96" s="16"/>
      <c r="K96" s="36"/>
      <c r="L96" s="36"/>
      <c r="M96" s="16"/>
      <c r="N96" s="16"/>
      <c r="O96" s="16"/>
      <c r="P96" s="16"/>
      <c r="Q96" s="16"/>
      <c r="R96" s="19"/>
      <c r="S96" s="19"/>
      <c r="T96" s="16"/>
      <c r="U96" s="21"/>
      <c r="V96" s="16"/>
      <c r="W96" s="21"/>
      <c r="X96" s="16"/>
      <c r="Y96" s="21"/>
      <c r="Z96" s="16"/>
      <c r="AA96" s="21">
        <f>Tabela22[[#This Row],[ÚLTIMO SALÁRIO]]*4.1%</f>
        <v>0</v>
      </c>
      <c r="AB96" s="16"/>
      <c r="AC96" s="16"/>
      <c r="AD96" s="16"/>
      <c r="AE96" s="21">
        <f>Tabela22[[#This Row],[SALÁRIO ATUAL]]+Tabela22[[#This Row],[COMPLEMENTO SALARIAL]]+Tabela22[[#This Row],[AJUDA DE CUSTO]]</f>
        <v>0</v>
      </c>
      <c r="AF96" s="16"/>
      <c r="AG96" s="16"/>
      <c r="AH96" s="16"/>
      <c r="AI96" s="16"/>
    </row>
    <row r="97" spans="1:35" hidden="1">
      <c r="A97" s="120"/>
      <c r="B97" s="120"/>
      <c r="C97" s="16"/>
      <c r="D97" s="16"/>
      <c r="E97" s="16"/>
      <c r="F97" s="16"/>
      <c r="G97" s="16"/>
      <c r="H97" s="16"/>
      <c r="I97" s="16"/>
      <c r="J97" s="16"/>
      <c r="K97" s="36"/>
      <c r="L97" s="36"/>
      <c r="M97" s="16"/>
      <c r="N97" s="16"/>
      <c r="O97" s="16"/>
      <c r="P97" s="16"/>
      <c r="Q97" s="16"/>
      <c r="R97" s="19"/>
      <c r="S97" s="19"/>
      <c r="T97" s="16"/>
      <c r="U97" s="21"/>
      <c r="V97" s="16"/>
      <c r="W97" s="21"/>
      <c r="X97" s="16"/>
      <c r="Y97" s="21"/>
      <c r="Z97" s="16"/>
      <c r="AA97" s="21">
        <f>Tabela22[[#This Row],[ÚLTIMO SALÁRIO]]*4.1%</f>
        <v>0</v>
      </c>
      <c r="AB97" s="16"/>
      <c r="AC97" s="16"/>
      <c r="AD97" s="16"/>
      <c r="AE97" s="21">
        <f>Tabela22[[#This Row],[SALÁRIO ATUAL]]+Tabela22[[#This Row],[COMPLEMENTO SALARIAL]]+Tabela22[[#This Row],[AJUDA DE CUSTO]]</f>
        <v>0</v>
      </c>
      <c r="AF97" s="16"/>
      <c r="AG97" s="16"/>
      <c r="AH97" s="16"/>
      <c r="AI97" s="16"/>
    </row>
    <row r="98" spans="1:35" hidden="1">
      <c r="A98" s="119"/>
      <c r="B98" s="119"/>
      <c r="C98" s="16"/>
      <c r="D98" s="16"/>
      <c r="E98" s="16"/>
      <c r="F98" s="16"/>
      <c r="G98" s="16"/>
      <c r="H98" s="16"/>
      <c r="I98" s="16"/>
      <c r="J98" s="16"/>
      <c r="K98" s="36"/>
      <c r="L98" s="36"/>
      <c r="M98" s="16"/>
      <c r="N98" s="16"/>
      <c r="O98" s="16"/>
      <c r="P98" s="16"/>
      <c r="Q98" s="16"/>
      <c r="R98" s="19"/>
      <c r="S98" s="19"/>
      <c r="T98" s="16"/>
      <c r="U98" s="21"/>
      <c r="V98" s="16"/>
      <c r="W98" s="21"/>
      <c r="X98" s="16"/>
      <c r="Y98" s="21"/>
      <c r="Z98" s="16"/>
      <c r="AA98" s="21">
        <f>Tabela22[[#This Row],[ÚLTIMO SALÁRIO]]*4.1%</f>
        <v>0</v>
      </c>
      <c r="AB98" s="16"/>
      <c r="AC98" s="16"/>
      <c r="AD98" s="16"/>
      <c r="AE98" s="21">
        <f>Tabela22[[#This Row],[SALÁRIO ATUAL]]+Tabela22[[#This Row],[COMPLEMENTO SALARIAL]]+Tabela22[[#This Row],[AJUDA DE CUSTO]]</f>
        <v>0</v>
      </c>
      <c r="AF98" s="16"/>
      <c r="AG98" s="16"/>
      <c r="AH98" s="16"/>
      <c r="AI98" s="16"/>
    </row>
    <row r="99" spans="1:35" hidden="1">
      <c r="A99" s="120"/>
      <c r="B99" s="120"/>
      <c r="C99" s="16"/>
      <c r="D99" s="16"/>
      <c r="E99" s="16"/>
      <c r="F99" s="16"/>
      <c r="G99" s="16"/>
      <c r="H99" s="16"/>
      <c r="I99" s="16"/>
      <c r="J99" s="16"/>
      <c r="K99" s="36"/>
      <c r="L99" s="36"/>
      <c r="M99" s="16"/>
      <c r="N99" s="16"/>
      <c r="O99" s="16"/>
      <c r="P99" s="16"/>
      <c r="Q99" s="16"/>
      <c r="R99" s="19"/>
      <c r="S99" s="19"/>
      <c r="T99" s="16"/>
      <c r="U99" s="21"/>
      <c r="V99" s="16"/>
      <c r="W99" s="21"/>
      <c r="X99" s="16"/>
      <c r="Y99" s="21"/>
      <c r="Z99" s="16"/>
      <c r="AA99" s="21">
        <f>Tabela22[[#This Row],[ÚLTIMO SALÁRIO]]*4.1%</f>
        <v>0</v>
      </c>
      <c r="AB99" s="16"/>
      <c r="AC99" s="16"/>
      <c r="AD99" s="16"/>
      <c r="AE99" s="21">
        <f>Tabela22[[#This Row],[SALÁRIO ATUAL]]+Tabela22[[#This Row],[COMPLEMENTO SALARIAL]]+Tabela22[[#This Row],[AJUDA DE CUSTO]]</f>
        <v>0</v>
      </c>
      <c r="AF99" s="16"/>
      <c r="AG99" s="16"/>
      <c r="AH99" s="16"/>
      <c r="AI99" s="16"/>
    </row>
    <row r="100" spans="1:35" hidden="1">
      <c r="A100" s="119"/>
      <c r="B100" s="119"/>
      <c r="C100" s="16"/>
      <c r="D100" s="16"/>
      <c r="E100" s="16"/>
      <c r="F100" s="16"/>
      <c r="G100" s="16"/>
      <c r="H100" s="16"/>
      <c r="I100" s="16"/>
      <c r="J100" s="16"/>
      <c r="K100" s="36"/>
      <c r="L100" s="36"/>
      <c r="M100" s="16"/>
      <c r="N100" s="16"/>
      <c r="O100" s="16"/>
      <c r="P100" s="16"/>
      <c r="Q100" s="16"/>
      <c r="R100" s="19"/>
      <c r="S100" s="19"/>
      <c r="T100" s="16"/>
      <c r="U100" s="21"/>
      <c r="V100" s="16"/>
      <c r="W100" s="21"/>
      <c r="X100" s="16"/>
      <c r="Y100" s="21"/>
      <c r="Z100" s="16"/>
      <c r="AA100" s="21">
        <f>Tabela22[[#This Row],[ÚLTIMO SALÁRIO]]*4.1%</f>
        <v>0</v>
      </c>
      <c r="AB100" s="16"/>
      <c r="AC100" s="16"/>
      <c r="AD100" s="16"/>
      <c r="AE100" s="21">
        <f>Tabela22[[#This Row],[SALÁRIO ATUAL]]+Tabela22[[#This Row],[COMPLEMENTO SALARIAL]]+Tabela22[[#This Row],[AJUDA DE CUSTO]]</f>
        <v>0</v>
      </c>
      <c r="AF100" s="16"/>
      <c r="AG100" s="16"/>
      <c r="AH100" s="16"/>
      <c r="AI100" s="16"/>
    </row>
    <row r="101" spans="1:35" hidden="1">
      <c r="A101" s="120"/>
      <c r="B101" s="120"/>
      <c r="C101" s="16"/>
      <c r="D101" s="16"/>
      <c r="E101" s="16"/>
      <c r="F101" s="16"/>
      <c r="G101" s="16"/>
      <c r="H101" s="16"/>
      <c r="I101" s="16"/>
      <c r="J101" s="16"/>
      <c r="K101" s="36"/>
      <c r="L101" s="36"/>
      <c r="M101" s="16"/>
      <c r="N101" s="16"/>
      <c r="O101" s="16"/>
      <c r="P101" s="16"/>
      <c r="Q101" s="16"/>
      <c r="R101" s="19"/>
      <c r="S101" s="19"/>
      <c r="T101" s="16"/>
      <c r="U101" s="21"/>
      <c r="V101" s="16"/>
      <c r="W101" s="21"/>
      <c r="X101" s="16"/>
      <c r="Y101" s="21"/>
      <c r="Z101" s="16"/>
      <c r="AA101" s="21">
        <f>Tabela22[[#This Row],[ÚLTIMO SALÁRIO]]*4.1%</f>
        <v>0</v>
      </c>
      <c r="AB101" s="16"/>
      <c r="AC101" s="16"/>
      <c r="AD101" s="16"/>
      <c r="AE101" s="21">
        <f>Tabela22[[#This Row],[SALÁRIO ATUAL]]+Tabela22[[#This Row],[COMPLEMENTO SALARIAL]]+Tabela22[[#This Row],[AJUDA DE CUSTO]]</f>
        <v>0</v>
      </c>
      <c r="AF101" s="16"/>
      <c r="AG101" s="16"/>
      <c r="AH101" s="16"/>
      <c r="AI101" s="16"/>
    </row>
    <row r="102" spans="1:35" hidden="1">
      <c r="A102" s="119"/>
      <c r="B102" s="119"/>
      <c r="C102" s="16"/>
      <c r="D102" s="16"/>
      <c r="E102" s="16"/>
      <c r="F102" s="16"/>
      <c r="G102" s="16"/>
      <c r="H102" s="16"/>
      <c r="I102" s="16"/>
      <c r="J102" s="16"/>
      <c r="K102" s="36"/>
      <c r="L102" s="36"/>
      <c r="M102" s="16"/>
      <c r="N102" s="16"/>
      <c r="O102" s="16"/>
      <c r="P102" s="16"/>
      <c r="Q102" s="16"/>
      <c r="R102" s="19"/>
      <c r="S102" s="19"/>
      <c r="T102" s="16"/>
      <c r="U102" s="21"/>
      <c r="V102" s="16"/>
      <c r="W102" s="21"/>
      <c r="X102" s="16"/>
      <c r="Y102" s="21"/>
      <c r="Z102" s="16"/>
      <c r="AA102" s="21">
        <f>Tabela22[[#This Row],[ÚLTIMO SALÁRIO]]*4.1%</f>
        <v>0</v>
      </c>
      <c r="AB102" s="16"/>
      <c r="AC102" s="16"/>
      <c r="AD102" s="16"/>
      <c r="AE102" s="21">
        <f>Tabela22[[#This Row],[SALÁRIO ATUAL]]+Tabela22[[#This Row],[COMPLEMENTO SALARIAL]]+Tabela22[[#This Row],[AJUDA DE CUSTO]]</f>
        <v>0</v>
      </c>
      <c r="AF102" s="16"/>
      <c r="AG102" s="16"/>
      <c r="AH102" s="16"/>
      <c r="AI102" s="16"/>
    </row>
    <row r="103" spans="1:35" hidden="1">
      <c r="A103" s="120"/>
      <c r="B103" s="120"/>
      <c r="C103" s="16"/>
      <c r="D103" s="16"/>
      <c r="E103" s="16"/>
      <c r="F103" s="16"/>
      <c r="G103" s="16"/>
      <c r="H103" s="16"/>
      <c r="I103" s="16"/>
      <c r="J103" s="16"/>
      <c r="K103" s="36"/>
      <c r="L103" s="36"/>
      <c r="M103" s="16"/>
      <c r="N103" s="16"/>
      <c r="O103" s="16"/>
      <c r="P103" s="16"/>
      <c r="Q103" s="16"/>
      <c r="R103" s="19"/>
      <c r="S103" s="19"/>
      <c r="T103" s="16"/>
      <c r="U103" s="21"/>
      <c r="V103" s="16"/>
      <c r="W103" s="21"/>
      <c r="X103" s="16"/>
      <c r="Y103" s="21"/>
      <c r="Z103" s="16"/>
      <c r="AA103" s="21">
        <f>Tabela22[[#This Row],[ÚLTIMO SALÁRIO]]*4.1%</f>
        <v>0</v>
      </c>
      <c r="AB103" s="16"/>
      <c r="AC103" s="16"/>
      <c r="AD103" s="16"/>
      <c r="AE103" s="21">
        <f>Tabela22[[#This Row],[SALÁRIO ATUAL]]+Tabela22[[#This Row],[COMPLEMENTO SALARIAL]]+Tabela22[[#This Row],[AJUDA DE CUSTO]]</f>
        <v>0</v>
      </c>
      <c r="AF103" s="16"/>
      <c r="AG103" s="16"/>
      <c r="AH103" s="16"/>
      <c r="AI103" s="16"/>
    </row>
    <row r="104" spans="1:35" hidden="1">
      <c r="A104" s="119"/>
      <c r="B104" s="119"/>
      <c r="C104" s="16"/>
      <c r="D104" s="16"/>
      <c r="E104" s="16"/>
      <c r="F104" s="16"/>
      <c r="G104" s="16"/>
      <c r="H104" s="16"/>
      <c r="I104" s="16"/>
      <c r="J104" s="16"/>
      <c r="K104" s="36"/>
      <c r="L104" s="36"/>
      <c r="M104" s="16"/>
      <c r="N104" s="16"/>
      <c r="O104" s="16"/>
      <c r="P104" s="16"/>
      <c r="Q104" s="16"/>
      <c r="R104" s="19"/>
      <c r="S104" s="19"/>
      <c r="T104" s="16"/>
      <c r="U104" s="21"/>
      <c r="V104" s="16"/>
      <c r="W104" s="21"/>
      <c r="X104" s="16"/>
      <c r="Y104" s="21"/>
      <c r="Z104" s="16"/>
      <c r="AA104" s="21">
        <f>Tabela22[[#This Row],[ÚLTIMO SALÁRIO]]*4.1%</f>
        <v>0</v>
      </c>
      <c r="AB104" s="16"/>
      <c r="AC104" s="16"/>
      <c r="AD104" s="16"/>
      <c r="AE104" s="21">
        <f>Tabela22[[#This Row],[SALÁRIO ATUAL]]+Tabela22[[#This Row],[COMPLEMENTO SALARIAL]]+Tabela22[[#This Row],[AJUDA DE CUSTO]]</f>
        <v>0</v>
      </c>
      <c r="AF104" s="16"/>
      <c r="AG104" s="16"/>
      <c r="AH104" s="16"/>
      <c r="AI104" s="16"/>
    </row>
    <row r="105" spans="1:35" hidden="1">
      <c r="A105" s="120"/>
      <c r="B105" s="120"/>
      <c r="C105" s="16"/>
      <c r="D105" s="16"/>
      <c r="E105" s="16"/>
      <c r="F105" s="16"/>
      <c r="G105" s="16"/>
      <c r="H105" s="16"/>
      <c r="I105" s="16"/>
      <c r="J105" s="16"/>
      <c r="K105" s="36"/>
      <c r="L105" s="36"/>
      <c r="M105" s="16"/>
      <c r="N105" s="16"/>
      <c r="O105" s="16"/>
      <c r="P105" s="16"/>
      <c r="Q105" s="16"/>
      <c r="R105" s="19"/>
      <c r="S105" s="19"/>
      <c r="T105" s="16"/>
      <c r="U105" s="21"/>
      <c r="V105" s="16"/>
      <c r="W105" s="21"/>
      <c r="X105" s="16"/>
      <c r="Y105" s="21"/>
      <c r="Z105" s="16"/>
      <c r="AA105" s="21">
        <f>Tabela22[[#This Row],[ÚLTIMO SALÁRIO]]*4.1%</f>
        <v>0</v>
      </c>
      <c r="AB105" s="16"/>
      <c r="AC105" s="16"/>
      <c r="AD105" s="16"/>
      <c r="AE105" s="21">
        <f>Tabela22[[#This Row],[SALÁRIO ATUAL]]+Tabela22[[#This Row],[COMPLEMENTO SALARIAL]]+Tabela22[[#This Row],[AJUDA DE CUSTO]]</f>
        <v>0</v>
      </c>
      <c r="AF105" s="16"/>
      <c r="AG105" s="16"/>
      <c r="AH105" s="16"/>
      <c r="AI105" s="16"/>
    </row>
    <row r="106" spans="1:35" hidden="1">
      <c r="A106" s="119"/>
      <c r="B106" s="119"/>
      <c r="C106" s="16"/>
      <c r="D106" s="16"/>
      <c r="E106" s="16"/>
      <c r="F106" s="16"/>
      <c r="G106" s="16"/>
      <c r="H106" s="16"/>
      <c r="I106" s="16"/>
      <c r="J106" s="16"/>
      <c r="K106" s="36"/>
      <c r="L106" s="36"/>
      <c r="M106" s="16"/>
      <c r="N106" s="16"/>
      <c r="O106" s="16"/>
      <c r="P106" s="16"/>
      <c r="Q106" s="16"/>
      <c r="R106" s="19"/>
      <c r="S106" s="19"/>
      <c r="T106" s="16"/>
      <c r="U106" s="21"/>
      <c r="V106" s="16"/>
      <c r="W106" s="21"/>
      <c r="X106" s="16"/>
      <c r="Y106" s="21"/>
      <c r="Z106" s="16"/>
      <c r="AA106" s="21">
        <f>Tabela22[[#This Row],[ÚLTIMO SALÁRIO]]*4.1%</f>
        <v>0</v>
      </c>
      <c r="AB106" s="16"/>
      <c r="AC106" s="16"/>
      <c r="AD106" s="16"/>
      <c r="AE106" s="21">
        <f>Tabela22[[#This Row],[SALÁRIO ATUAL]]+Tabela22[[#This Row],[COMPLEMENTO SALARIAL]]+Tabela22[[#This Row],[AJUDA DE CUSTO]]</f>
        <v>0</v>
      </c>
      <c r="AF106" s="16"/>
      <c r="AG106" s="16"/>
      <c r="AH106" s="16"/>
      <c r="AI106" s="16"/>
    </row>
    <row r="107" spans="1:35" hidden="1">
      <c r="A107" s="120"/>
      <c r="B107" s="120"/>
      <c r="C107" s="16"/>
      <c r="D107" s="16"/>
      <c r="E107" s="16"/>
      <c r="F107" s="16"/>
      <c r="G107" s="16"/>
      <c r="H107" s="16"/>
      <c r="I107" s="16"/>
      <c r="J107" s="16"/>
      <c r="K107" s="36"/>
      <c r="L107" s="36"/>
      <c r="M107" s="16"/>
      <c r="N107" s="16"/>
      <c r="O107" s="16"/>
      <c r="P107" s="16"/>
      <c r="Q107" s="16"/>
      <c r="R107" s="19"/>
      <c r="S107" s="19"/>
      <c r="T107" s="16"/>
      <c r="U107" s="21"/>
      <c r="V107" s="16"/>
      <c r="W107" s="21"/>
      <c r="X107" s="16"/>
      <c r="Y107" s="21"/>
      <c r="Z107" s="16"/>
      <c r="AA107" s="21">
        <f>Tabela22[[#This Row],[ÚLTIMO SALÁRIO]]*4.1%</f>
        <v>0</v>
      </c>
      <c r="AB107" s="16"/>
      <c r="AC107" s="16"/>
      <c r="AD107" s="16"/>
      <c r="AE107" s="21">
        <f>Tabela22[[#This Row],[SALÁRIO ATUAL]]+Tabela22[[#This Row],[COMPLEMENTO SALARIAL]]+Tabela22[[#This Row],[AJUDA DE CUSTO]]</f>
        <v>0</v>
      </c>
      <c r="AF107" s="16"/>
      <c r="AG107" s="16"/>
      <c r="AH107" s="16"/>
      <c r="AI107" s="16"/>
    </row>
    <row r="108" spans="1:35" hidden="1">
      <c r="A108" s="119"/>
      <c r="B108" s="119"/>
      <c r="C108" s="16"/>
      <c r="D108" s="16"/>
      <c r="E108" s="16"/>
      <c r="F108" s="16"/>
      <c r="G108" s="16"/>
      <c r="H108" s="16"/>
      <c r="I108" s="16"/>
      <c r="J108" s="16"/>
      <c r="K108" s="36"/>
      <c r="L108" s="36"/>
      <c r="M108" s="16"/>
      <c r="N108" s="16"/>
      <c r="O108" s="16"/>
      <c r="P108" s="16"/>
      <c r="Q108" s="16"/>
      <c r="R108" s="19"/>
      <c r="S108" s="19"/>
      <c r="T108" s="16"/>
      <c r="U108" s="21"/>
      <c r="V108" s="16"/>
      <c r="W108" s="21"/>
      <c r="X108" s="16"/>
      <c r="Y108" s="21"/>
      <c r="Z108" s="16"/>
      <c r="AA108" s="21">
        <f>Tabela22[[#This Row],[ÚLTIMO SALÁRIO]]*4.1%</f>
        <v>0</v>
      </c>
      <c r="AB108" s="16"/>
      <c r="AC108" s="16"/>
      <c r="AD108" s="16"/>
      <c r="AE108" s="21">
        <f>Tabela22[[#This Row],[SALÁRIO ATUAL]]+Tabela22[[#This Row],[COMPLEMENTO SALARIAL]]+Tabela22[[#This Row],[AJUDA DE CUSTO]]</f>
        <v>0</v>
      </c>
      <c r="AF108" s="16"/>
      <c r="AG108" s="16"/>
      <c r="AH108" s="16"/>
      <c r="AI108" s="16"/>
    </row>
    <row r="109" spans="1:35" hidden="1">
      <c r="A109" s="120"/>
      <c r="B109" s="120"/>
      <c r="C109" s="16"/>
      <c r="D109" s="16"/>
      <c r="E109" s="16"/>
      <c r="F109" s="16"/>
      <c r="G109" s="16"/>
      <c r="H109" s="16"/>
      <c r="I109" s="16"/>
      <c r="J109" s="16"/>
      <c r="K109" s="36"/>
      <c r="L109" s="36"/>
      <c r="M109" s="16"/>
      <c r="N109" s="16"/>
      <c r="O109" s="16"/>
      <c r="P109" s="16"/>
      <c r="Q109" s="16"/>
      <c r="R109" s="19"/>
      <c r="S109" s="19"/>
      <c r="T109" s="16"/>
      <c r="U109" s="21"/>
      <c r="V109" s="16"/>
      <c r="W109" s="21"/>
      <c r="X109" s="16"/>
      <c r="Y109" s="21"/>
      <c r="Z109" s="16"/>
      <c r="AA109" s="21">
        <f>Tabela22[[#This Row],[ÚLTIMO SALÁRIO]]*4.1%</f>
        <v>0</v>
      </c>
      <c r="AB109" s="16"/>
      <c r="AC109" s="16"/>
      <c r="AD109" s="16"/>
      <c r="AE109" s="21">
        <f>Tabela22[[#This Row],[SALÁRIO ATUAL]]+Tabela22[[#This Row],[COMPLEMENTO SALARIAL]]+Tabela22[[#This Row],[AJUDA DE CUSTO]]</f>
        <v>0</v>
      </c>
      <c r="AF109" s="16"/>
      <c r="AG109" s="16"/>
      <c r="AH109" s="16"/>
      <c r="AI109" s="16"/>
    </row>
    <row r="110" spans="1:35" hidden="1">
      <c r="A110" s="119"/>
      <c r="B110" s="119"/>
      <c r="C110" s="16"/>
      <c r="D110" s="16"/>
      <c r="E110" s="16"/>
      <c r="F110" s="16"/>
      <c r="G110" s="16"/>
      <c r="H110" s="16"/>
      <c r="I110" s="16"/>
      <c r="J110" s="16"/>
      <c r="K110" s="36"/>
      <c r="L110" s="36"/>
      <c r="M110" s="16"/>
      <c r="N110" s="16"/>
      <c r="O110" s="16"/>
      <c r="P110" s="16"/>
      <c r="Q110" s="16"/>
      <c r="R110" s="19"/>
      <c r="S110" s="19"/>
      <c r="T110" s="16"/>
      <c r="U110" s="21">
        <f>SUM(Tabela22[[#This Row],[PENÚLTIMO SALÁRIO]]+Tabela22[[#This Row],[ÚLTIMO SALÁRIO]]+Tabela22[[#This Row],[SALÁRIO ATUAL]])</f>
        <v>0</v>
      </c>
      <c r="V110" s="16"/>
      <c r="W110" s="21"/>
      <c r="X110" s="16"/>
      <c r="Y110" s="21"/>
      <c r="Z110" s="16"/>
      <c r="AA110" s="21">
        <f>Tabela22[[#This Row],[ÚLTIMO SALÁRIO]]*4.1%</f>
        <v>0</v>
      </c>
      <c r="AB110" s="16"/>
      <c r="AC110" s="16"/>
      <c r="AD110" s="16"/>
      <c r="AE110" s="21">
        <f>Tabela22[[#This Row],[SALÁRIO ATUAL]]+Tabela22[[#This Row],[COMPLEMENTO SALARIAL]]+Tabela22[[#This Row],[AJUDA DE CUSTO]]</f>
        <v>0</v>
      </c>
      <c r="AF110" s="16"/>
      <c r="AG110" s="16"/>
      <c r="AH110" s="16"/>
      <c r="AI110" s="16"/>
    </row>
    <row r="111" spans="1:35" hidden="1">
      <c r="A111" s="120"/>
      <c r="B111" s="120"/>
      <c r="C111" s="16"/>
      <c r="D111" s="16"/>
      <c r="E111" s="16"/>
      <c r="F111" s="16"/>
      <c r="G111" s="16"/>
      <c r="H111" s="16"/>
      <c r="I111" s="16"/>
      <c r="J111" s="16"/>
      <c r="K111" s="36"/>
      <c r="L111" s="36"/>
      <c r="M111" s="16"/>
      <c r="N111" s="16"/>
      <c r="O111" s="16"/>
      <c r="P111" s="16"/>
      <c r="Q111" s="16"/>
      <c r="R111" s="19"/>
      <c r="S111" s="19"/>
      <c r="T111" s="16"/>
      <c r="U111" s="21">
        <f>SUM(Tabela22[[#This Row],[PENÚLTIMO SALÁRIO]]+Tabela22[[#This Row],[ÚLTIMO SALÁRIO]]+Tabela22[[#This Row],[SALÁRIO ATUAL]])</f>
        <v>0</v>
      </c>
      <c r="V111" s="16"/>
      <c r="W111" s="21"/>
      <c r="X111" s="16"/>
      <c r="Y111" s="21"/>
      <c r="Z111" s="16"/>
      <c r="AA111" s="21">
        <f>Tabela22[[#This Row],[ÚLTIMO SALÁRIO]]*4.1%</f>
        <v>0</v>
      </c>
      <c r="AB111" s="16"/>
      <c r="AC111" s="16"/>
      <c r="AD111" s="16"/>
      <c r="AE111" s="21">
        <f>Tabela22[[#This Row],[SALÁRIO ATUAL]]+Tabela22[[#This Row],[COMPLEMENTO SALARIAL]]+Tabela22[[#This Row],[AJUDA DE CUSTO]]</f>
        <v>0</v>
      </c>
      <c r="AF111" s="16"/>
      <c r="AG111" s="16"/>
      <c r="AH111" s="16"/>
      <c r="AI111" s="16"/>
    </row>
    <row r="112" spans="1:35" hidden="1">
      <c r="A112" s="119"/>
      <c r="B112" s="119"/>
      <c r="C112" s="16"/>
      <c r="D112" s="16"/>
      <c r="E112" s="16"/>
      <c r="F112" s="16"/>
      <c r="G112" s="16"/>
      <c r="H112" s="16"/>
      <c r="I112" s="16"/>
      <c r="J112" s="16"/>
      <c r="K112" s="36"/>
      <c r="L112" s="36"/>
      <c r="M112" s="16"/>
      <c r="N112" s="16"/>
      <c r="O112" s="16"/>
      <c r="P112" s="16"/>
      <c r="Q112" s="16"/>
      <c r="R112" s="19"/>
      <c r="S112" s="19"/>
      <c r="T112" s="16"/>
      <c r="U112" s="21">
        <f>SUM(Tabela22[[#This Row],[PENÚLTIMO SALÁRIO]]+Tabela22[[#This Row],[ÚLTIMO SALÁRIO]]+Tabela22[[#This Row],[SALÁRIO ATUAL]])</f>
        <v>0</v>
      </c>
      <c r="V112" s="16"/>
      <c r="W112" s="21"/>
      <c r="X112" s="16"/>
      <c r="Y112" s="21"/>
      <c r="Z112" s="16"/>
      <c r="AA112" s="21">
        <f>Tabela22[[#This Row],[ÚLTIMO SALÁRIO]]*4.1%</f>
        <v>0</v>
      </c>
      <c r="AB112" s="16"/>
      <c r="AC112" s="16"/>
      <c r="AD112" s="16"/>
      <c r="AE112" s="21">
        <f>Tabela22[[#This Row],[SALÁRIO ATUAL]]+Tabela22[[#This Row],[COMPLEMENTO SALARIAL]]+Tabela22[[#This Row],[AJUDA DE CUSTO]]</f>
        <v>0</v>
      </c>
      <c r="AF112" s="16"/>
      <c r="AG112" s="16"/>
      <c r="AH112" s="16"/>
      <c r="AI112" s="16"/>
    </row>
    <row r="113" spans="1:35" hidden="1">
      <c r="A113" s="120"/>
      <c r="B113" s="120"/>
      <c r="C113" s="16"/>
      <c r="D113" s="16"/>
      <c r="E113" s="16"/>
      <c r="F113" s="16"/>
      <c r="G113" s="16"/>
      <c r="H113" s="16"/>
      <c r="I113" s="16"/>
      <c r="J113" s="16"/>
      <c r="K113" s="36"/>
      <c r="L113" s="36"/>
      <c r="M113" s="16"/>
      <c r="N113" s="16"/>
      <c r="O113" s="16"/>
      <c r="P113" s="16"/>
      <c r="Q113" s="16"/>
      <c r="R113" s="19"/>
      <c r="S113" s="19"/>
      <c r="T113" s="16"/>
      <c r="U113" s="21">
        <f>SUM(Tabela22[[#This Row],[PENÚLTIMO SALÁRIO]]+Tabela22[[#This Row],[ÚLTIMO SALÁRIO]]+Tabela22[[#This Row],[SALÁRIO ATUAL]])</f>
        <v>0</v>
      </c>
      <c r="V113" s="16"/>
      <c r="W113" s="21"/>
      <c r="X113" s="16"/>
      <c r="Y113" s="21"/>
      <c r="Z113" s="16"/>
      <c r="AA113" s="21">
        <f>Tabela22[[#This Row],[ÚLTIMO SALÁRIO]]*4.1%</f>
        <v>0</v>
      </c>
      <c r="AB113" s="16"/>
      <c r="AC113" s="16"/>
      <c r="AD113" s="16"/>
      <c r="AE113" s="21">
        <f>Tabela22[[#This Row],[SALÁRIO ATUAL]]+Tabela22[[#This Row],[COMPLEMENTO SALARIAL]]+Tabela22[[#This Row],[AJUDA DE CUSTO]]</f>
        <v>0</v>
      </c>
      <c r="AF113" s="16"/>
      <c r="AG113" s="16"/>
      <c r="AH113" s="16"/>
      <c r="AI113" s="16"/>
    </row>
    <row r="114" spans="1:35" hidden="1">
      <c r="A114" s="119"/>
      <c r="B114" s="119"/>
      <c r="C114" s="16"/>
      <c r="D114" s="16"/>
      <c r="E114" s="16"/>
      <c r="F114" s="16"/>
      <c r="G114" s="16"/>
      <c r="H114" s="16"/>
      <c r="I114" s="16"/>
      <c r="J114" s="16"/>
      <c r="K114" s="36"/>
      <c r="L114" s="36"/>
      <c r="M114" s="16"/>
      <c r="N114" s="16"/>
      <c r="O114" s="16"/>
      <c r="P114" s="16"/>
      <c r="Q114" s="16"/>
      <c r="R114" s="19"/>
      <c r="S114" s="19"/>
      <c r="T114" s="16"/>
      <c r="U114" s="21">
        <f>SUM(Tabela22[[#This Row],[PENÚLTIMO SALÁRIO]]+Tabela22[[#This Row],[ÚLTIMO SALÁRIO]]+Tabela22[[#This Row],[SALÁRIO ATUAL]])</f>
        <v>0</v>
      </c>
      <c r="V114" s="16"/>
      <c r="W114" s="21"/>
      <c r="X114" s="16"/>
      <c r="Y114" s="21"/>
      <c r="Z114" s="16"/>
      <c r="AA114" s="21">
        <f>Tabela22[[#This Row],[ÚLTIMO SALÁRIO]]*4.1%</f>
        <v>0</v>
      </c>
      <c r="AB114" s="16"/>
      <c r="AC114" s="16"/>
      <c r="AD114" s="16"/>
      <c r="AE114" s="21">
        <f>Tabela22[[#This Row],[SALÁRIO ATUAL]]+Tabela22[[#This Row],[COMPLEMENTO SALARIAL]]+Tabela22[[#This Row],[AJUDA DE CUSTO]]</f>
        <v>0</v>
      </c>
      <c r="AF114" s="16"/>
      <c r="AG114" s="16"/>
      <c r="AH114" s="16"/>
      <c r="AI114" s="16"/>
    </row>
    <row r="115" spans="1:35" hidden="1">
      <c r="A115" s="120"/>
      <c r="B115" s="120"/>
      <c r="C115" s="16"/>
      <c r="D115" s="16"/>
      <c r="E115" s="16"/>
      <c r="F115" s="16"/>
      <c r="G115" s="16"/>
      <c r="H115" s="16"/>
      <c r="I115" s="16"/>
      <c r="J115" s="16"/>
      <c r="K115" s="36"/>
      <c r="L115" s="36"/>
      <c r="M115" s="16"/>
      <c r="N115" s="16"/>
      <c r="O115" s="16"/>
      <c r="P115" s="16"/>
      <c r="Q115" s="16"/>
      <c r="R115" s="19"/>
      <c r="S115" s="19"/>
      <c r="T115" s="16"/>
      <c r="U115" s="21">
        <f>SUM(Tabela22[[#This Row],[PENÚLTIMO SALÁRIO]]+Tabela22[[#This Row],[ÚLTIMO SALÁRIO]]+Tabela22[[#This Row],[SALÁRIO ATUAL]])</f>
        <v>0</v>
      </c>
      <c r="V115" s="16"/>
      <c r="W115" s="21"/>
      <c r="X115" s="16"/>
      <c r="Y115" s="21"/>
      <c r="Z115" s="16"/>
      <c r="AA115" s="21">
        <f>Tabela22[[#This Row],[ÚLTIMO SALÁRIO]]*4.1%</f>
        <v>0</v>
      </c>
      <c r="AB115" s="16"/>
      <c r="AC115" s="16"/>
      <c r="AD115" s="16"/>
      <c r="AE115" s="21">
        <f>Tabela22[[#This Row],[SALÁRIO ATUAL]]+Tabela22[[#This Row],[COMPLEMENTO SALARIAL]]+Tabela22[[#This Row],[AJUDA DE CUSTO]]</f>
        <v>0</v>
      </c>
      <c r="AF115" s="16"/>
      <c r="AG115" s="16"/>
      <c r="AH115" s="16"/>
      <c r="AI115" s="16"/>
    </row>
    <row r="116" spans="1:35" hidden="1">
      <c r="A116" s="119"/>
      <c r="B116" s="119"/>
      <c r="C116" s="16"/>
      <c r="D116" s="16"/>
      <c r="E116" s="16"/>
      <c r="F116" s="16"/>
      <c r="G116" s="16"/>
      <c r="H116" s="16"/>
      <c r="I116" s="16"/>
      <c r="J116" s="16"/>
      <c r="K116" s="36"/>
      <c r="L116" s="36"/>
      <c r="M116" s="16"/>
      <c r="N116" s="16"/>
      <c r="O116" s="16"/>
      <c r="P116" s="16"/>
      <c r="Q116" s="16"/>
      <c r="R116" s="19"/>
      <c r="S116" s="19"/>
      <c r="T116" s="16"/>
      <c r="U116" s="21">
        <f>SUM(Tabela22[[#This Row],[PENÚLTIMO SALÁRIO]]+Tabela22[[#This Row],[ÚLTIMO SALÁRIO]]+Tabela22[[#This Row],[SALÁRIO ATUAL]])</f>
        <v>0</v>
      </c>
      <c r="V116" s="16"/>
      <c r="W116" s="21"/>
      <c r="X116" s="16"/>
      <c r="Y116" s="21"/>
      <c r="Z116" s="16"/>
      <c r="AA116" s="21">
        <f>Tabela22[[#This Row],[ÚLTIMO SALÁRIO]]*4.1%</f>
        <v>0</v>
      </c>
      <c r="AB116" s="16"/>
      <c r="AC116" s="16"/>
      <c r="AD116" s="16"/>
      <c r="AE116" s="21">
        <f>Tabela22[[#This Row],[SALÁRIO ATUAL]]+Tabela22[[#This Row],[COMPLEMENTO SALARIAL]]+Tabela22[[#This Row],[AJUDA DE CUSTO]]</f>
        <v>0</v>
      </c>
      <c r="AF116" s="16"/>
      <c r="AG116" s="16"/>
      <c r="AH116" s="16"/>
      <c r="AI116" s="16"/>
    </row>
    <row r="117" spans="1:35" hidden="1">
      <c r="A117" s="120"/>
      <c r="B117" s="120"/>
      <c r="C117" s="16"/>
      <c r="D117" s="16"/>
      <c r="E117" s="16"/>
      <c r="F117" s="16"/>
      <c r="G117" s="16"/>
      <c r="H117" s="16"/>
      <c r="I117" s="16"/>
      <c r="J117" s="16"/>
      <c r="K117" s="36"/>
      <c r="L117" s="36"/>
      <c r="M117" s="16"/>
      <c r="N117" s="16"/>
      <c r="O117" s="16"/>
      <c r="P117" s="16"/>
      <c r="Q117" s="16"/>
      <c r="R117" s="19"/>
      <c r="S117" s="19"/>
      <c r="T117" s="16"/>
      <c r="U117" s="21">
        <f>SUM(Tabela22[[#This Row],[PENÚLTIMO SALÁRIO]]+Tabela22[[#This Row],[ÚLTIMO SALÁRIO]]+Tabela22[[#This Row],[SALÁRIO ATUAL]])</f>
        <v>0</v>
      </c>
      <c r="V117" s="16"/>
      <c r="W117" s="21"/>
      <c r="X117" s="16"/>
      <c r="Y117" s="21"/>
      <c r="Z117" s="16"/>
      <c r="AA117" s="21">
        <f>Tabela22[[#This Row],[ÚLTIMO SALÁRIO]]*4.1%</f>
        <v>0</v>
      </c>
      <c r="AB117" s="16"/>
      <c r="AC117" s="16"/>
      <c r="AD117" s="16"/>
      <c r="AE117" s="21">
        <f>Tabela22[[#This Row],[SALÁRIO ATUAL]]+Tabela22[[#This Row],[COMPLEMENTO SALARIAL]]+Tabela22[[#This Row],[AJUDA DE CUSTO]]</f>
        <v>0</v>
      </c>
      <c r="AF117" s="16"/>
      <c r="AG117" s="16"/>
      <c r="AH117" s="16"/>
      <c r="AI117" s="16"/>
    </row>
    <row r="118" spans="1:35" hidden="1">
      <c r="A118" s="119"/>
      <c r="B118" s="119"/>
      <c r="C118" s="16"/>
      <c r="D118" s="16"/>
      <c r="E118" s="16"/>
      <c r="F118" s="16"/>
      <c r="G118" s="16"/>
      <c r="H118" s="16"/>
      <c r="I118" s="16"/>
      <c r="J118" s="16"/>
      <c r="K118" s="36"/>
      <c r="L118" s="36"/>
      <c r="M118" s="16"/>
      <c r="N118" s="16"/>
      <c r="O118" s="16"/>
      <c r="P118" s="16"/>
      <c r="Q118" s="16"/>
      <c r="R118" s="19"/>
      <c r="S118" s="19"/>
      <c r="T118" s="16"/>
      <c r="U118" s="21">
        <f>SUM(Tabela22[[#This Row],[PENÚLTIMO SALÁRIO]]+Tabela22[[#This Row],[ÚLTIMO SALÁRIO]]+Tabela22[[#This Row],[SALÁRIO ATUAL]])</f>
        <v>0</v>
      </c>
      <c r="V118" s="16"/>
      <c r="W118" s="21"/>
      <c r="X118" s="16"/>
      <c r="Y118" s="21"/>
      <c r="Z118" s="16"/>
      <c r="AA118" s="21">
        <f>Tabela22[[#This Row],[ÚLTIMO SALÁRIO]]*4.1%</f>
        <v>0</v>
      </c>
      <c r="AB118" s="16"/>
      <c r="AC118" s="16"/>
      <c r="AD118" s="16"/>
      <c r="AE118" s="21">
        <f>Tabela22[[#This Row],[SALÁRIO ATUAL]]+Tabela22[[#This Row],[COMPLEMENTO SALARIAL]]+Tabela22[[#This Row],[AJUDA DE CUSTO]]</f>
        <v>0</v>
      </c>
      <c r="AF118" s="16"/>
      <c r="AG118" s="16"/>
      <c r="AH118" s="16"/>
      <c r="AI118" s="16"/>
    </row>
    <row r="119" spans="1:35" hidden="1">
      <c r="A119" s="120"/>
      <c r="B119" s="120"/>
      <c r="C119" s="16"/>
      <c r="D119" s="16"/>
      <c r="E119" s="16"/>
      <c r="F119" s="16"/>
      <c r="G119" s="16"/>
      <c r="H119" s="16"/>
      <c r="I119" s="16"/>
      <c r="J119" s="16"/>
      <c r="K119" s="36"/>
      <c r="L119" s="36"/>
      <c r="M119" s="16"/>
      <c r="N119" s="16"/>
      <c r="O119" s="16"/>
      <c r="P119" s="16"/>
      <c r="Q119" s="16"/>
      <c r="R119" s="19"/>
      <c r="S119" s="19"/>
      <c r="T119" s="16"/>
      <c r="U119" s="21">
        <f>SUM(Tabela22[[#This Row],[PENÚLTIMO SALÁRIO]]+Tabela22[[#This Row],[ÚLTIMO SALÁRIO]]+Tabela22[[#This Row],[SALÁRIO ATUAL]])</f>
        <v>0</v>
      </c>
      <c r="V119" s="16"/>
      <c r="W119" s="21"/>
      <c r="X119" s="16"/>
      <c r="Y119" s="21"/>
      <c r="Z119" s="16"/>
      <c r="AA119" s="21">
        <f>Tabela22[[#This Row],[ÚLTIMO SALÁRIO]]*4.1%</f>
        <v>0</v>
      </c>
      <c r="AB119" s="16"/>
      <c r="AC119" s="16"/>
      <c r="AD119" s="16"/>
      <c r="AE119" s="21">
        <f>Tabela22[[#This Row],[SALÁRIO ATUAL]]+Tabela22[[#This Row],[COMPLEMENTO SALARIAL]]+Tabela22[[#This Row],[AJUDA DE CUSTO]]</f>
        <v>0</v>
      </c>
      <c r="AF119" s="16"/>
      <c r="AG119" s="16"/>
      <c r="AH119" s="16"/>
      <c r="AI119" s="16"/>
    </row>
    <row r="120" spans="1:35" hidden="1">
      <c r="A120" s="119"/>
      <c r="B120" s="119"/>
      <c r="C120" s="16"/>
      <c r="D120" s="16"/>
      <c r="E120" s="16"/>
      <c r="F120" s="16"/>
      <c r="G120" s="16"/>
      <c r="H120" s="16"/>
      <c r="I120" s="16"/>
      <c r="J120" s="16"/>
      <c r="K120" s="36"/>
      <c r="L120" s="36"/>
      <c r="M120" s="16"/>
      <c r="N120" s="16"/>
      <c r="O120" s="16"/>
      <c r="P120" s="16"/>
      <c r="Q120" s="16"/>
      <c r="R120" s="19"/>
      <c r="S120" s="19"/>
      <c r="T120" s="16"/>
      <c r="U120" s="21">
        <f>SUM(Tabela22[[#This Row],[PENÚLTIMO SALÁRIO]]+Tabela22[[#This Row],[ÚLTIMO SALÁRIO]]+Tabela22[[#This Row],[SALÁRIO ATUAL]])</f>
        <v>0</v>
      </c>
      <c r="V120" s="16"/>
      <c r="W120" s="21"/>
      <c r="X120" s="16"/>
      <c r="Y120" s="21"/>
      <c r="Z120" s="16"/>
      <c r="AA120" s="21">
        <f>Tabela22[[#This Row],[ÚLTIMO SALÁRIO]]*4.1%</f>
        <v>0</v>
      </c>
      <c r="AB120" s="16"/>
      <c r="AC120" s="16"/>
      <c r="AD120" s="16"/>
      <c r="AE120" s="21">
        <f>Tabela22[[#This Row],[SALÁRIO ATUAL]]+Tabela22[[#This Row],[COMPLEMENTO SALARIAL]]+Tabela22[[#This Row],[AJUDA DE CUSTO]]</f>
        <v>0</v>
      </c>
      <c r="AF120" s="16"/>
      <c r="AG120" s="16"/>
      <c r="AH120" s="16"/>
      <c r="AI120" s="16"/>
    </row>
    <row r="121" spans="1:35" hidden="1">
      <c r="A121" s="120"/>
      <c r="B121" s="120"/>
      <c r="C121" s="16"/>
      <c r="D121" s="16"/>
      <c r="E121" s="16"/>
      <c r="F121" s="16"/>
      <c r="G121" s="16"/>
      <c r="H121" s="16"/>
      <c r="I121" s="16"/>
      <c r="J121" s="16"/>
      <c r="K121" s="36"/>
      <c r="L121" s="36"/>
      <c r="M121" s="16"/>
      <c r="N121" s="16"/>
      <c r="O121" s="16"/>
      <c r="P121" s="16"/>
      <c r="Q121" s="16"/>
      <c r="R121" s="19"/>
      <c r="S121" s="19"/>
      <c r="T121" s="16"/>
      <c r="U121" s="21">
        <f>SUM(Tabela22[[#This Row],[PENÚLTIMO SALÁRIO]]+Tabela22[[#This Row],[ÚLTIMO SALÁRIO]]+Tabela22[[#This Row],[SALÁRIO ATUAL]])</f>
        <v>0</v>
      </c>
      <c r="V121" s="16"/>
      <c r="W121" s="21"/>
      <c r="X121" s="16"/>
      <c r="Y121" s="21"/>
      <c r="Z121" s="16"/>
      <c r="AA121" s="21">
        <f>Tabela22[[#This Row],[ÚLTIMO SALÁRIO]]*4.1%</f>
        <v>0</v>
      </c>
      <c r="AB121" s="16"/>
      <c r="AC121" s="16"/>
      <c r="AD121" s="16"/>
      <c r="AE121" s="21">
        <f>Tabela22[[#This Row],[SALÁRIO ATUAL]]+Tabela22[[#This Row],[COMPLEMENTO SALARIAL]]+Tabela22[[#This Row],[AJUDA DE CUSTO]]</f>
        <v>0</v>
      </c>
      <c r="AF121" s="16"/>
      <c r="AG121" s="16"/>
      <c r="AH121" s="16"/>
      <c r="AI121" s="16"/>
    </row>
    <row r="122" spans="1:35" hidden="1">
      <c r="A122" s="119"/>
      <c r="B122" s="119"/>
      <c r="C122" s="16"/>
      <c r="D122" s="16"/>
      <c r="E122" s="16"/>
      <c r="F122" s="16"/>
      <c r="G122" s="16"/>
      <c r="H122" s="16"/>
      <c r="I122" s="16"/>
      <c r="J122" s="16"/>
      <c r="K122" s="36"/>
      <c r="L122" s="36"/>
      <c r="M122" s="16"/>
      <c r="N122" s="16"/>
      <c r="O122" s="16"/>
      <c r="P122" s="16"/>
      <c r="Q122" s="16"/>
      <c r="R122" s="19"/>
      <c r="S122" s="19"/>
      <c r="T122" s="16"/>
      <c r="U122" s="21">
        <f>SUM(Tabela22[[#This Row],[PENÚLTIMO SALÁRIO]]+Tabela22[[#This Row],[ÚLTIMO SALÁRIO]]+Tabela22[[#This Row],[SALÁRIO ATUAL]])</f>
        <v>0</v>
      </c>
      <c r="V122" s="16"/>
      <c r="W122" s="21"/>
      <c r="X122" s="16"/>
      <c r="Y122" s="21"/>
      <c r="Z122" s="16"/>
      <c r="AA122" s="21">
        <f>Tabela22[[#This Row],[ÚLTIMO SALÁRIO]]*4.1%</f>
        <v>0</v>
      </c>
      <c r="AB122" s="16"/>
      <c r="AC122" s="16"/>
      <c r="AD122" s="16"/>
      <c r="AE122" s="21">
        <f>Tabela22[[#This Row],[SALÁRIO ATUAL]]+Tabela22[[#This Row],[COMPLEMENTO SALARIAL]]+Tabela22[[#This Row],[AJUDA DE CUSTO]]</f>
        <v>0</v>
      </c>
      <c r="AF122" s="16"/>
      <c r="AG122" s="16"/>
      <c r="AH122" s="16"/>
      <c r="AI122" s="16"/>
    </row>
    <row r="123" spans="1:35" hidden="1">
      <c r="A123" s="120"/>
      <c r="B123" s="120"/>
      <c r="C123" s="16"/>
      <c r="D123" s="16"/>
      <c r="E123" s="16"/>
      <c r="F123" s="16"/>
      <c r="G123" s="16"/>
      <c r="H123" s="16"/>
      <c r="I123" s="16"/>
      <c r="J123" s="16"/>
      <c r="K123" s="36"/>
      <c r="L123" s="36"/>
      <c r="M123" s="16"/>
      <c r="N123" s="16"/>
      <c r="O123" s="16"/>
      <c r="P123" s="16"/>
      <c r="Q123" s="16"/>
      <c r="R123" s="19"/>
      <c r="S123" s="19"/>
      <c r="T123" s="16"/>
      <c r="U123" s="21">
        <f>SUM(Tabela22[[#This Row],[PENÚLTIMO SALÁRIO]]+Tabela22[[#This Row],[ÚLTIMO SALÁRIO]]+Tabela22[[#This Row],[SALÁRIO ATUAL]])</f>
        <v>0</v>
      </c>
      <c r="V123" s="16"/>
      <c r="W123" s="21"/>
      <c r="X123" s="16"/>
      <c r="Y123" s="21"/>
      <c r="Z123" s="16"/>
      <c r="AA123" s="21">
        <f>Tabela22[[#This Row],[ÚLTIMO SALÁRIO]]*4.1%</f>
        <v>0</v>
      </c>
      <c r="AB123" s="16"/>
      <c r="AC123" s="16"/>
      <c r="AD123" s="16"/>
      <c r="AE123" s="21">
        <f>Tabela22[[#This Row],[SALÁRIO ATUAL]]+Tabela22[[#This Row],[COMPLEMENTO SALARIAL]]+Tabela22[[#This Row],[AJUDA DE CUSTO]]</f>
        <v>0</v>
      </c>
      <c r="AF123" s="16"/>
      <c r="AG123" s="16"/>
      <c r="AH123" s="16"/>
      <c r="AI123" s="16"/>
    </row>
    <row r="124" spans="1:35" hidden="1">
      <c r="A124" s="119"/>
      <c r="B124" s="119"/>
      <c r="C124" s="16"/>
      <c r="D124" s="16"/>
      <c r="E124" s="16"/>
      <c r="F124" s="16"/>
      <c r="G124" s="16"/>
      <c r="H124" s="16"/>
      <c r="I124" s="16"/>
      <c r="J124" s="16"/>
      <c r="K124" s="36"/>
      <c r="L124" s="36"/>
      <c r="M124" s="16"/>
      <c r="N124" s="16"/>
      <c r="O124" s="16"/>
      <c r="P124" s="16"/>
      <c r="Q124" s="16"/>
      <c r="R124" s="19"/>
      <c r="S124" s="19"/>
      <c r="T124" s="16"/>
      <c r="U124" s="21">
        <f>SUM(Tabela22[[#This Row],[PENÚLTIMO SALÁRIO]]+Tabela22[[#This Row],[ÚLTIMO SALÁRIO]]+Tabela22[[#This Row],[SALÁRIO ATUAL]])</f>
        <v>0</v>
      </c>
      <c r="V124" s="16"/>
      <c r="W124" s="21"/>
      <c r="X124" s="16"/>
      <c r="Y124" s="21"/>
      <c r="Z124" s="16"/>
      <c r="AA124" s="21">
        <f>Tabela22[[#This Row],[ÚLTIMO SALÁRIO]]*4.1%</f>
        <v>0</v>
      </c>
      <c r="AB124" s="16"/>
      <c r="AC124" s="16"/>
      <c r="AD124" s="16"/>
      <c r="AE124" s="21">
        <f>Tabela22[[#This Row],[SALÁRIO ATUAL]]+Tabela22[[#This Row],[COMPLEMENTO SALARIAL]]+Tabela22[[#This Row],[AJUDA DE CUSTO]]</f>
        <v>0</v>
      </c>
      <c r="AF124" s="16"/>
      <c r="AG124" s="16"/>
      <c r="AH124" s="16"/>
      <c r="AI124" s="16"/>
    </row>
    <row r="125" spans="1:35" hidden="1">
      <c r="A125" s="120"/>
      <c r="B125" s="120"/>
      <c r="C125" s="16"/>
      <c r="D125" s="16"/>
      <c r="E125" s="16"/>
      <c r="F125" s="16"/>
      <c r="G125" s="16"/>
      <c r="H125" s="16"/>
      <c r="I125" s="16"/>
      <c r="J125" s="16"/>
      <c r="K125" s="36"/>
      <c r="L125" s="36"/>
      <c r="M125" s="16"/>
      <c r="N125" s="16"/>
      <c r="O125" s="16"/>
      <c r="P125" s="16"/>
      <c r="Q125" s="16"/>
      <c r="R125" s="19"/>
      <c r="S125" s="19"/>
      <c r="T125" s="16"/>
      <c r="U125" s="21">
        <f>SUM(Tabela22[[#This Row],[PENÚLTIMO SALÁRIO]]+Tabela22[[#This Row],[ÚLTIMO SALÁRIO]]+Tabela22[[#This Row],[SALÁRIO ATUAL]])</f>
        <v>0</v>
      </c>
      <c r="V125" s="16"/>
      <c r="W125" s="21"/>
      <c r="X125" s="16"/>
      <c r="Y125" s="21"/>
      <c r="Z125" s="16"/>
      <c r="AA125" s="21">
        <f>Tabela22[[#This Row],[ÚLTIMO SALÁRIO]]*4.1%</f>
        <v>0</v>
      </c>
      <c r="AB125" s="16"/>
      <c r="AC125" s="16"/>
      <c r="AD125" s="16"/>
      <c r="AE125" s="21">
        <f>Tabela22[[#This Row],[SALÁRIO ATUAL]]+Tabela22[[#This Row],[COMPLEMENTO SALARIAL]]+Tabela22[[#This Row],[AJUDA DE CUSTO]]</f>
        <v>0</v>
      </c>
      <c r="AF125" s="16"/>
      <c r="AG125" s="16"/>
      <c r="AH125" s="16"/>
      <c r="AI125" s="16"/>
    </row>
    <row r="126" spans="1:35" hidden="1">
      <c r="A126" s="119"/>
      <c r="B126" s="119"/>
      <c r="C126" s="16"/>
      <c r="D126" s="16"/>
      <c r="E126" s="16"/>
      <c r="F126" s="16"/>
      <c r="G126" s="16"/>
      <c r="H126" s="16"/>
      <c r="I126" s="16"/>
      <c r="J126" s="16"/>
      <c r="K126" s="36"/>
      <c r="L126" s="36"/>
      <c r="M126" s="16"/>
      <c r="N126" s="16"/>
      <c r="O126" s="16"/>
      <c r="P126" s="16"/>
      <c r="Q126" s="16"/>
      <c r="R126" s="19"/>
      <c r="S126" s="19"/>
      <c r="T126" s="16"/>
      <c r="U126" s="21">
        <f>SUM(Tabela22[[#This Row],[PENÚLTIMO SALÁRIO]]+Tabela22[[#This Row],[ÚLTIMO SALÁRIO]]+Tabela22[[#This Row],[SALÁRIO ATUAL]])</f>
        <v>0</v>
      </c>
      <c r="V126" s="16"/>
      <c r="W126" s="21"/>
      <c r="X126" s="16"/>
      <c r="Y126" s="21"/>
      <c r="Z126" s="16"/>
      <c r="AA126" s="21">
        <f>Tabela22[[#This Row],[ÚLTIMO SALÁRIO]]*4.1%</f>
        <v>0</v>
      </c>
      <c r="AB126" s="16"/>
      <c r="AC126" s="16"/>
      <c r="AD126" s="16"/>
      <c r="AE126" s="21">
        <f>Tabela22[[#This Row],[SALÁRIO ATUAL]]+Tabela22[[#This Row],[COMPLEMENTO SALARIAL]]+Tabela22[[#This Row],[AJUDA DE CUSTO]]</f>
        <v>0</v>
      </c>
      <c r="AF126" s="16"/>
      <c r="AG126" s="16"/>
      <c r="AH126" s="16"/>
      <c r="AI126" s="16"/>
    </row>
    <row r="127" spans="1:35" hidden="1">
      <c r="A127" s="120"/>
      <c r="B127" s="120"/>
      <c r="C127" s="16"/>
      <c r="D127" s="16"/>
      <c r="E127" s="16"/>
      <c r="F127" s="16"/>
      <c r="G127" s="16"/>
      <c r="H127" s="16"/>
      <c r="I127" s="16"/>
      <c r="J127" s="16"/>
      <c r="K127" s="36"/>
      <c r="L127" s="36"/>
      <c r="M127" s="16"/>
      <c r="N127" s="16"/>
      <c r="O127" s="16"/>
      <c r="P127" s="16"/>
      <c r="Q127" s="16"/>
      <c r="R127" s="19"/>
      <c r="S127" s="19"/>
      <c r="T127" s="16"/>
      <c r="U127" s="21">
        <f>SUM(Tabela22[[#This Row],[PENÚLTIMO SALÁRIO]]+Tabela22[[#This Row],[ÚLTIMO SALÁRIO]]+Tabela22[[#This Row],[SALÁRIO ATUAL]])</f>
        <v>0</v>
      </c>
      <c r="V127" s="16"/>
      <c r="W127" s="21"/>
      <c r="X127" s="16"/>
      <c r="Y127" s="21"/>
      <c r="Z127" s="16"/>
      <c r="AA127" s="21">
        <f>Tabela22[[#This Row],[ÚLTIMO SALÁRIO]]*4.1%</f>
        <v>0</v>
      </c>
      <c r="AB127" s="16"/>
      <c r="AC127" s="16"/>
      <c r="AD127" s="16"/>
      <c r="AE127" s="21">
        <f>Tabela22[[#This Row],[SALÁRIO ATUAL]]+Tabela22[[#This Row],[COMPLEMENTO SALARIAL]]+Tabela22[[#This Row],[AJUDA DE CUSTO]]</f>
        <v>0</v>
      </c>
      <c r="AF127" s="16"/>
      <c r="AG127" s="16"/>
      <c r="AH127" s="16"/>
      <c r="AI127" s="16"/>
    </row>
    <row r="128" spans="1:35" hidden="1">
      <c r="A128" s="119"/>
      <c r="B128" s="119"/>
      <c r="C128" s="16"/>
      <c r="D128" s="16"/>
      <c r="E128" s="16"/>
      <c r="F128" s="16"/>
      <c r="G128" s="16"/>
      <c r="H128" s="16"/>
      <c r="I128" s="16"/>
      <c r="J128" s="16"/>
      <c r="K128" s="36"/>
      <c r="L128" s="36"/>
      <c r="M128" s="16"/>
      <c r="N128" s="16"/>
      <c r="O128" s="16"/>
      <c r="P128" s="16"/>
      <c r="Q128" s="16"/>
      <c r="R128" s="19"/>
      <c r="S128" s="19"/>
      <c r="T128" s="16"/>
      <c r="U128" s="21">
        <f>SUM(Tabela22[[#This Row],[PENÚLTIMO SALÁRIO]]+Tabela22[[#This Row],[ÚLTIMO SALÁRIO]]+Tabela22[[#This Row],[SALÁRIO ATUAL]])</f>
        <v>0</v>
      </c>
      <c r="V128" s="16"/>
      <c r="W128" s="21"/>
      <c r="X128" s="16"/>
      <c r="Y128" s="21"/>
      <c r="Z128" s="16"/>
      <c r="AA128" s="21">
        <f>Tabela22[[#This Row],[ÚLTIMO SALÁRIO]]*4.1%</f>
        <v>0</v>
      </c>
      <c r="AB128" s="16"/>
      <c r="AC128" s="16"/>
      <c r="AD128" s="16"/>
      <c r="AE128" s="21">
        <f>Tabela22[[#This Row],[SALÁRIO ATUAL]]+Tabela22[[#This Row],[COMPLEMENTO SALARIAL]]+Tabela22[[#This Row],[AJUDA DE CUSTO]]</f>
        <v>0</v>
      </c>
      <c r="AF128" s="16"/>
      <c r="AG128" s="16"/>
      <c r="AH128" s="16"/>
      <c r="AI128" s="16"/>
    </row>
    <row r="129" spans="1:35" hidden="1">
      <c r="A129" s="120"/>
      <c r="B129" s="120"/>
      <c r="C129" s="16"/>
      <c r="D129" s="16"/>
      <c r="E129" s="16"/>
      <c r="F129" s="16"/>
      <c r="G129" s="16"/>
      <c r="H129" s="16"/>
      <c r="I129" s="16"/>
      <c r="J129" s="16"/>
      <c r="K129" s="36"/>
      <c r="L129" s="36"/>
      <c r="M129" s="16"/>
      <c r="N129" s="16"/>
      <c r="O129" s="16"/>
      <c r="P129" s="16"/>
      <c r="Q129" s="16"/>
      <c r="R129" s="19"/>
      <c r="S129" s="19"/>
      <c r="T129" s="16"/>
      <c r="U129" s="21">
        <f>SUM(Tabela22[[#This Row],[PENÚLTIMO SALÁRIO]]+Tabela22[[#This Row],[ÚLTIMO SALÁRIO]]+Tabela22[[#This Row],[SALÁRIO ATUAL]])</f>
        <v>0</v>
      </c>
      <c r="V129" s="16"/>
      <c r="W129" s="21"/>
      <c r="X129" s="16"/>
      <c r="Y129" s="21"/>
      <c r="Z129" s="16"/>
      <c r="AA129" s="21">
        <f>Tabela22[[#This Row],[ÚLTIMO SALÁRIO]]*4.1%</f>
        <v>0</v>
      </c>
      <c r="AB129" s="16"/>
      <c r="AC129" s="16"/>
      <c r="AD129" s="16"/>
      <c r="AE129" s="21">
        <f>Tabela22[[#This Row],[SALÁRIO ATUAL]]+Tabela22[[#This Row],[COMPLEMENTO SALARIAL]]+Tabela22[[#This Row],[AJUDA DE CUSTO]]</f>
        <v>0</v>
      </c>
      <c r="AF129" s="16"/>
      <c r="AG129" s="16"/>
      <c r="AH129" s="16"/>
      <c r="AI129" s="16"/>
    </row>
    <row r="130" spans="1:35" hidden="1">
      <c r="A130" s="119"/>
      <c r="B130" s="119"/>
      <c r="C130" s="16"/>
      <c r="D130" s="16"/>
      <c r="E130" s="16"/>
      <c r="F130" s="16"/>
      <c r="G130" s="16"/>
      <c r="H130" s="16"/>
      <c r="I130" s="16"/>
      <c r="J130" s="16"/>
      <c r="K130" s="36"/>
      <c r="L130" s="36"/>
      <c r="M130" s="16"/>
      <c r="N130" s="16"/>
      <c r="O130" s="16"/>
      <c r="P130" s="16"/>
      <c r="Q130" s="16"/>
      <c r="R130" s="19"/>
      <c r="S130" s="19"/>
      <c r="T130" s="16"/>
      <c r="U130" s="21">
        <f>SUM(Tabela22[[#This Row],[PENÚLTIMO SALÁRIO]]+Tabela22[[#This Row],[ÚLTIMO SALÁRIO]]+Tabela22[[#This Row],[SALÁRIO ATUAL]])</f>
        <v>0</v>
      </c>
      <c r="V130" s="16"/>
      <c r="W130" s="21"/>
      <c r="X130" s="16"/>
      <c r="Y130" s="21"/>
      <c r="Z130" s="16"/>
      <c r="AA130" s="21">
        <f>Tabela22[[#This Row],[ÚLTIMO SALÁRIO]]*4.1%</f>
        <v>0</v>
      </c>
      <c r="AB130" s="16"/>
      <c r="AC130" s="16"/>
      <c r="AD130" s="16"/>
      <c r="AE130" s="21">
        <f>Tabela22[[#This Row],[SALÁRIO ATUAL]]+Tabela22[[#This Row],[COMPLEMENTO SALARIAL]]+Tabela22[[#This Row],[AJUDA DE CUSTO]]</f>
        <v>0</v>
      </c>
      <c r="AF130" s="16"/>
      <c r="AG130" s="16"/>
      <c r="AH130" s="16"/>
      <c r="AI130" s="16"/>
    </row>
    <row r="131" spans="1:35" hidden="1">
      <c r="A131" s="120"/>
      <c r="B131" s="120"/>
      <c r="C131" s="16"/>
      <c r="D131" s="16"/>
      <c r="E131" s="16"/>
      <c r="F131" s="16"/>
      <c r="G131" s="16"/>
      <c r="H131" s="16"/>
      <c r="I131" s="16"/>
      <c r="J131" s="16"/>
      <c r="K131" s="36"/>
      <c r="L131" s="36"/>
      <c r="M131" s="16"/>
      <c r="N131" s="16"/>
      <c r="O131" s="16"/>
      <c r="P131" s="16"/>
      <c r="Q131" s="16"/>
      <c r="R131" s="19"/>
      <c r="S131" s="19"/>
      <c r="T131" s="16"/>
      <c r="U131" s="21">
        <f>SUM(Tabela22[[#This Row],[PENÚLTIMO SALÁRIO]]+Tabela22[[#This Row],[ÚLTIMO SALÁRIO]]+Tabela22[[#This Row],[SALÁRIO ATUAL]])</f>
        <v>0</v>
      </c>
      <c r="V131" s="16"/>
      <c r="W131" s="21"/>
      <c r="X131" s="16"/>
      <c r="Y131" s="21"/>
      <c r="Z131" s="16"/>
      <c r="AA131" s="21">
        <f>Tabela22[[#This Row],[ÚLTIMO SALÁRIO]]*4.1%</f>
        <v>0</v>
      </c>
      <c r="AB131" s="16"/>
      <c r="AC131" s="16"/>
      <c r="AD131" s="16"/>
      <c r="AE131" s="21">
        <f>Tabela22[[#This Row],[SALÁRIO ATUAL]]+Tabela22[[#This Row],[COMPLEMENTO SALARIAL]]+Tabela22[[#This Row],[AJUDA DE CUSTO]]</f>
        <v>0</v>
      </c>
      <c r="AF131" s="16"/>
      <c r="AG131" s="16"/>
      <c r="AH131" s="16"/>
      <c r="AI131" s="16"/>
    </row>
    <row r="132" spans="1:35" hidden="1">
      <c r="A132" s="119"/>
      <c r="B132" s="119"/>
      <c r="C132" s="16"/>
      <c r="D132" s="16"/>
      <c r="E132" s="16"/>
      <c r="F132" s="16"/>
      <c r="G132" s="16"/>
      <c r="H132" s="16"/>
      <c r="I132" s="16"/>
      <c r="J132" s="16"/>
      <c r="K132" s="36"/>
      <c r="L132" s="36"/>
      <c r="M132" s="16"/>
      <c r="N132" s="16"/>
      <c r="O132" s="16"/>
      <c r="P132" s="16"/>
      <c r="Q132" s="16"/>
      <c r="R132" s="19"/>
      <c r="S132" s="19"/>
      <c r="T132" s="16"/>
      <c r="U132" s="21">
        <f>SUM(Tabela22[[#This Row],[PENÚLTIMO SALÁRIO]]+Tabela22[[#This Row],[ÚLTIMO SALÁRIO]]+Tabela22[[#This Row],[SALÁRIO ATUAL]])</f>
        <v>0</v>
      </c>
      <c r="V132" s="16"/>
      <c r="W132" s="21"/>
      <c r="X132" s="16"/>
      <c r="Y132" s="21"/>
      <c r="Z132" s="16"/>
      <c r="AA132" s="21">
        <f>Tabela22[[#This Row],[ÚLTIMO SALÁRIO]]*4.1%</f>
        <v>0</v>
      </c>
      <c r="AB132" s="16"/>
      <c r="AC132" s="16"/>
      <c r="AD132" s="16"/>
      <c r="AE132" s="21">
        <f>Tabela22[[#This Row],[SALÁRIO ATUAL]]+Tabela22[[#This Row],[COMPLEMENTO SALARIAL]]+Tabela22[[#This Row],[AJUDA DE CUSTO]]</f>
        <v>0</v>
      </c>
      <c r="AF132" s="16"/>
      <c r="AG132" s="16"/>
      <c r="AH132" s="16"/>
      <c r="AI132" s="16"/>
    </row>
    <row r="133" spans="1:35" hidden="1">
      <c r="A133" s="120"/>
      <c r="B133" s="120"/>
      <c r="C133" s="16"/>
      <c r="D133" s="16"/>
      <c r="E133" s="16"/>
      <c r="F133" s="16"/>
      <c r="G133" s="16"/>
      <c r="H133" s="16"/>
      <c r="I133" s="16"/>
      <c r="J133" s="16"/>
      <c r="K133" s="36"/>
      <c r="L133" s="36"/>
      <c r="M133" s="16"/>
      <c r="N133" s="16"/>
      <c r="O133" s="16"/>
      <c r="P133" s="16"/>
      <c r="Q133" s="16"/>
      <c r="R133" s="19"/>
      <c r="S133" s="19"/>
      <c r="T133" s="16"/>
      <c r="U133" s="21">
        <f>SUM(Tabela22[[#This Row],[PENÚLTIMO SALÁRIO]]+Tabela22[[#This Row],[ÚLTIMO SALÁRIO]]+Tabela22[[#This Row],[SALÁRIO ATUAL]])</f>
        <v>0</v>
      </c>
      <c r="V133" s="16"/>
      <c r="W133" s="21"/>
      <c r="X133" s="16"/>
      <c r="Y133" s="21"/>
      <c r="Z133" s="16"/>
      <c r="AA133" s="21">
        <f>Tabela22[[#This Row],[ÚLTIMO SALÁRIO]]*4.1%</f>
        <v>0</v>
      </c>
      <c r="AB133" s="16"/>
      <c r="AC133" s="16"/>
      <c r="AD133" s="16"/>
      <c r="AE133" s="21">
        <f>Tabela22[[#This Row],[SALÁRIO ATUAL]]+Tabela22[[#This Row],[COMPLEMENTO SALARIAL]]+Tabela22[[#This Row],[AJUDA DE CUSTO]]</f>
        <v>0</v>
      </c>
      <c r="AF133" s="16"/>
      <c r="AG133" s="16"/>
      <c r="AH133" s="16"/>
      <c r="AI133" s="16"/>
    </row>
    <row r="134" spans="1:35" hidden="1">
      <c r="A134" s="119"/>
      <c r="B134" s="119"/>
      <c r="C134" s="16"/>
      <c r="D134" s="16"/>
      <c r="E134" s="16"/>
      <c r="F134" s="16"/>
      <c r="G134" s="16"/>
      <c r="H134" s="16"/>
      <c r="I134" s="16"/>
      <c r="J134" s="16"/>
      <c r="K134" s="36"/>
      <c r="L134" s="36"/>
      <c r="M134" s="16"/>
      <c r="N134" s="16"/>
      <c r="O134" s="16"/>
      <c r="P134" s="16"/>
      <c r="Q134" s="16"/>
      <c r="R134" s="19"/>
      <c r="S134" s="19"/>
      <c r="T134" s="16"/>
      <c r="U134" s="21">
        <f>SUM(Tabela22[[#This Row],[PENÚLTIMO SALÁRIO]]+Tabela22[[#This Row],[ÚLTIMO SALÁRIO]]+Tabela22[[#This Row],[SALÁRIO ATUAL]])</f>
        <v>0</v>
      </c>
      <c r="V134" s="16"/>
      <c r="W134" s="21"/>
      <c r="X134" s="16"/>
      <c r="Y134" s="21"/>
      <c r="Z134" s="16"/>
      <c r="AA134" s="21">
        <f>Tabela22[[#This Row],[ÚLTIMO SALÁRIO]]*4.1%</f>
        <v>0</v>
      </c>
      <c r="AB134" s="16"/>
      <c r="AC134" s="16"/>
      <c r="AD134" s="16"/>
      <c r="AE134" s="21">
        <f>Tabela22[[#This Row],[SALÁRIO ATUAL]]+Tabela22[[#This Row],[COMPLEMENTO SALARIAL]]+Tabela22[[#This Row],[AJUDA DE CUSTO]]</f>
        <v>0</v>
      </c>
      <c r="AF134" s="16"/>
      <c r="AG134" s="16"/>
      <c r="AH134" s="16"/>
      <c r="AI134" s="16"/>
    </row>
    <row r="135" spans="1:35" hidden="1">
      <c r="A135" s="120"/>
      <c r="B135" s="120"/>
      <c r="C135" s="16"/>
      <c r="D135" s="16"/>
      <c r="E135" s="16"/>
      <c r="F135" s="16"/>
      <c r="G135" s="16"/>
      <c r="H135" s="16"/>
      <c r="I135" s="16"/>
      <c r="J135" s="16"/>
      <c r="K135" s="36"/>
      <c r="L135" s="36"/>
      <c r="M135" s="16"/>
      <c r="N135" s="16"/>
      <c r="O135" s="16"/>
      <c r="P135" s="16"/>
      <c r="Q135" s="16"/>
      <c r="R135" s="19"/>
      <c r="S135" s="19"/>
      <c r="T135" s="16"/>
      <c r="U135" s="21">
        <f>SUM(Tabela22[[#This Row],[PENÚLTIMO SALÁRIO]]+Tabela22[[#This Row],[ÚLTIMO SALÁRIO]]+Tabela22[[#This Row],[SALÁRIO ATUAL]])</f>
        <v>0</v>
      </c>
      <c r="V135" s="16"/>
      <c r="W135" s="21"/>
      <c r="X135" s="16"/>
      <c r="Y135" s="21"/>
      <c r="Z135" s="16"/>
      <c r="AA135" s="21">
        <f>Tabela22[[#This Row],[ÚLTIMO SALÁRIO]]*4.1%</f>
        <v>0</v>
      </c>
      <c r="AB135" s="16"/>
      <c r="AC135" s="16"/>
      <c r="AD135" s="16"/>
      <c r="AE135" s="21">
        <f>Tabela22[[#This Row],[SALÁRIO ATUAL]]+Tabela22[[#This Row],[COMPLEMENTO SALARIAL]]+Tabela22[[#This Row],[AJUDA DE CUSTO]]</f>
        <v>0</v>
      </c>
      <c r="AF135" s="16"/>
      <c r="AG135" s="16"/>
      <c r="AH135" s="16"/>
      <c r="AI135" s="16"/>
    </row>
    <row r="136" spans="1:35" hidden="1">
      <c r="A136" s="119"/>
      <c r="B136" s="119"/>
      <c r="C136" s="16"/>
      <c r="D136" s="16"/>
      <c r="E136" s="16"/>
      <c r="F136" s="16"/>
      <c r="G136" s="16"/>
      <c r="H136" s="16"/>
      <c r="I136" s="16"/>
      <c r="J136" s="16"/>
      <c r="K136" s="36"/>
      <c r="L136" s="36"/>
      <c r="M136" s="16"/>
      <c r="N136" s="16"/>
      <c r="O136" s="16"/>
      <c r="P136" s="16"/>
      <c r="Q136" s="16"/>
      <c r="R136" s="19"/>
      <c r="S136" s="19"/>
      <c r="T136" s="16"/>
      <c r="U136" s="21">
        <f>SUM(Tabela22[[#This Row],[PENÚLTIMO SALÁRIO]]+Tabela22[[#This Row],[ÚLTIMO SALÁRIO]]+Tabela22[[#This Row],[SALÁRIO ATUAL]])</f>
        <v>0</v>
      </c>
      <c r="V136" s="16"/>
      <c r="W136" s="21"/>
      <c r="X136" s="16"/>
      <c r="Y136" s="21"/>
      <c r="Z136" s="16"/>
      <c r="AA136" s="21">
        <f>Tabela22[[#This Row],[ÚLTIMO SALÁRIO]]*4.1%</f>
        <v>0</v>
      </c>
      <c r="AB136" s="16"/>
      <c r="AC136" s="16"/>
      <c r="AD136" s="16"/>
      <c r="AE136" s="21">
        <f>Tabela22[[#This Row],[SALÁRIO ATUAL]]+Tabela22[[#This Row],[COMPLEMENTO SALARIAL]]+Tabela22[[#This Row],[AJUDA DE CUSTO]]</f>
        <v>0</v>
      </c>
      <c r="AF136" s="16"/>
      <c r="AG136" s="16"/>
      <c r="AH136" s="16"/>
      <c r="AI136" s="16"/>
    </row>
    <row r="137" spans="1:35" hidden="1">
      <c r="A137" s="120"/>
      <c r="B137" s="120"/>
      <c r="C137" s="16"/>
      <c r="D137" s="16"/>
      <c r="E137" s="16"/>
      <c r="F137" s="16"/>
      <c r="G137" s="16"/>
      <c r="H137" s="16"/>
      <c r="I137" s="16"/>
      <c r="J137" s="16"/>
      <c r="K137" s="36"/>
      <c r="L137" s="36"/>
      <c r="M137" s="16"/>
      <c r="N137" s="16"/>
      <c r="O137" s="16"/>
      <c r="P137" s="16"/>
      <c r="Q137" s="16"/>
      <c r="R137" s="19"/>
      <c r="S137" s="19"/>
      <c r="T137" s="16"/>
      <c r="U137" s="21">
        <f>SUM(Tabela22[[#This Row],[PENÚLTIMO SALÁRIO]]+Tabela22[[#This Row],[ÚLTIMO SALÁRIO]]+Tabela22[[#This Row],[SALÁRIO ATUAL]])</f>
        <v>0</v>
      </c>
      <c r="V137" s="16"/>
      <c r="W137" s="21"/>
      <c r="X137" s="16"/>
      <c r="Y137" s="21"/>
      <c r="Z137" s="16"/>
      <c r="AA137" s="21">
        <f>Tabela22[[#This Row],[ÚLTIMO SALÁRIO]]*4.1%</f>
        <v>0</v>
      </c>
      <c r="AB137" s="16"/>
      <c r="AC137" s="16"/>
      <c r="AD137" s="16"/>
      <c r="AE137" s="21">
        <f>Tabela22[[#This Row],[SALÁRIO ATUAL]]+Tabela22[[#This Row],[COMPLEMENTO SALARIAL]]+Tabela22[[#This Row],[AJUDA DE CUSTO]]</f>
        <v>0</v>
      </c>
      <c r="AF137" s="16"/>
      <c r="AG137" s="16"/>
      <c r="AH137" s="16"/>
      <c r="AI137" s="16"/>
    </row>
    <row r="138" spans="1:35" hidden="1">
      <c r="A138" s="119"/>
      <c r="B138" s="119"/>
      <c r="C138" s="16"/>
      <c r="D138" s="16"/>
      <c r="E138" s="16"/>
      <c r="F138" s="16"/>
      <c r="G138" s="16"/>
      <c r="H138" s="16"/>
      <c r="I138" s="16"/>
      <c r="J138" s="16"/>
      <c r="K138" s="36"/>
      <c r="L138" s="36"/>
      <c r="M138" s="16"/>
      <c r="N138" s="16"/>
      <c r="O138" s="16"/>
      <c r="P138" s="16"/>
      <c r="Q138" s="16"/>
      <c r="R138" s="19"/>
      <c r="S138" s="19"/>
      <c r="T138" s="16"/>
      <c r="U138" s="21">
        <f>SUM(Tabela22[[#This Row],[PENÚLTIMO SALÁRIO]]+Tabela22[[#This Row],[ÚLTIMO SALÁRIO]]+Tabela22[[#This Row],[SALÁRIO ATUAL]])</f>
        <v>0</v>
      </c>
      <c r="V138" s="16"/>
      <c r="W138" s="21"/>
      <c r="X138" s="16"/>
      <c r="Y138" s="21"/>
      <c r="Z138" s="16"/>
      <c r="AA138" s="21">
        <f>Tabela22[[#This Row],[ÚLTIMO SALÁRIO]]*4.1%</f>
        <v>0</v>
      </c>
      <c r="AB138" s="16"/>
      <c r="AC138" s="16"/>
      <c r="AD138" s="16"/>
      <c r="AE138" s="21">
        <f>Tabela22[[#This Row],[SALÁRIO ATUAL]]+Tabela22[[#This Row],[COMPLEMENTO SALARIAL]]+Tabela22[[#This Row],[AJUDA DE CUSTO]]</f>
        <v>0</v>
      </c>
      <c r="AF138" s="16"/>
      <c r="AG138" s="16"/>
      <c r="AH138" s="16"/>
      <c r="AI138" s="16"/>
    </row>
    <row r="139" spans="1:35" hidden="1">
      <c r="A139" s="120"/>
      <c r="B139" s="120"/>
      <c r="C139" s="16"/>
      <c r="D139" s="16"/>
      <c r="E139" s="16"/>
      <c r="F139" s="16"/>
      <c r="G139" s="16"/>
      <c r="H139" s="16"/>
      <c r="I139" s="16"/>
      <c r="J139" s="16"/>
      <c r="K139" s="36"/>
      <c r="L139" s="36"/>
      <c r="M139" s="16"/>
      <c r="N139" s="16"/>
      <c r="O139" s="16"/>
      <c r="P139" s="16"/>
      <c r="Q139" s="16"/>
      <c r="R139" s="19"/>
      <c r="S139" s="19"/>
      <c r="T139" s="16"/>
      <c r="U139" s="21">
        <f>SUM(Tabela22[[#This Row],[PENÚLTIMO SALÁRIO]]+Tabela22[[#This Row],[ÚLTIMO SALÁRIO]]+Tabela22[[#This Row],[SALÁRIO ATUAL]])</f>
        <v>0</v>
      </c>
      <c r="V139" s="16"/>
      <c r="W139" s="21"/>
      <c r="X139" s="16"/>
      <c r="Y139" s="21"/>
      <c r="Z139" s="16"/>
      <c r="AA139" s="21">
        <f>Tabela22[[#This Row],[ÚLTIMO SALÁRIO]]*4.1%</f>
        <v>0</v>
      </c>
      <c r="AB139" s="16"/>
      <c r="AC139" s="16"/>
      <c r="AD139" s="16"/>
      <c r="AE139" s="21">
        <f>Tabela22[[#This Row],[SALÁRIO ATUAL]]+Tabela22[[#This Row],[COMPLEMENTO SALARIAL]]+Tabela22[[#This Row],[AJUDA DE CUSTO]]</f>
        <v>0</v>
      </c>
      <c r="AF139" s="16"/>
      <c r="AG139" s="16"/>
      <c r="AH139" s="16"/>
      <c r="AI139" s="16"/>
    </row>
    <row r="140" spans="1:35" hidden="1">
      <c r="A140" s="119"/>
      <c r="B140" s="119"/>
      <c r="C140" s="16"/>
      <c r="D140" s="16"/>
      <c r="E140" s="16"/>
      <c r="F140" s="16"/>
      <c r="G140" s="16"/>
      <c r="H140" s="16"/>
      <c r="I140" s="16"/>
      <c r="J140" s="16"/>
      <c r="K140" s="36"/>
      <c r="L140" s="36"/>
      <c r="M140" s="16"/>
      <c r="N140" s="16"/>
      <c r="O140" s="16"/>
      <c r="P140" s="16"/>
      <c r="Q140" s="16"/>
      <c r="R140" s="19"/>
      <c r="S140" s="19"/>
      <c r="T140" s="16"/>
      <c r="U140" s="21">
        <f>SUM(Tabela22[[#This Row],[PENÚLTIMO SALÁRIO]]+Tabela22[[#This Row],[ÚLTIMO SALÁRIO]]+Tabela22[[#This Row],[SALÁRIO ATUAL]])</f>
        <v>0</v>
      </c>
      <c r="V140" s="16"/>
      <c r="W140" s="21"/>
      <c r="X140" s="16"/>
      <c r="Y140" s="21"/>
      <c r="Z140" s="16"/>
      <c r="AA140" s="21">
        <f>Tabela22[[#This Row],[ÚLTIMO SALÁRIO]]*4.1%</f>
        <v>0</v>
      </c>
      <c r="AB140" s="16"/>
      <c r="AC140" s="16"/>
      <c r="AD140" s="16"/>
      <c r="AE140" s="21">
        <f>Tabela22[[#This Row],[SALÁRIO ATUAL]]+Tabela22[[#This Row],[COMPLEMENTO SALARIAL]]+Tabela22[[#This Row],[AJUDA DE CUSTO]]</f>
        <v>0</v>
      </c>
      <c r="AF140" s="16"/>
      <c r="AG140" s="16"/>
      <c r="AH140" s="16"/>
      <c r="AI140" s="16"/>
    </row>
    <row r="141" spans="1:35" hidden="1">
      <c r="A141" s="120"/>
      <c r="B141" s="120"/>
      <c r="C141" s="16"/>
      <c r="D141" s="16"/>
      <c r="E141" s="16"/>
      <c r="F141" s="16"/>
      <c r="G141" s="16"/>
      <c r="H141" s="16"/>
      <c r="I141" s="16"/>
      <c r="J141" s="16"/>
      <c r="K141" s="36"/>
      <c r="L141" s="36"/>
      <c r="M141" s="16"/>
      <c r="N141" s="16"/>
      <c r="O141" s="16"/>
      <c r="P141" s="16"/>
      <c r="Q141" s="16"/>
      <c r="R141" s="19"/>
      <c r="S141" s="19"/>
      <c r="T141" s="16"/>
      <c r="U141" s="21">
        <f>SUM(Tabela22[[#This Row],[PENÚLTIMO SALÁRIO]]+Tabela22[[#This Row],[ÚLTIMO SALÁRIO]]+Tabela22[[#This Row],[SALÁRIO ATUAL]])</f>
        <v>0</v>
      </c>
      <c r="V141" s="16"/>
      <c r="W141" s="21"/>
      <c r="X141" s="16"/>
      <c r="Y141" s="21"/>
      <c r="Z141" s="16"/>
      <c r="AA141" s="21">
        <f>Tabela22[[#This Row],[ÚLTIMO SALÁRIO]]*4.1%</f>
        <v>0</v>
      </c>
      <c r="AB141" s="16"/>
      <c r="AC141" s="16"/>
      <c r="AD141" s="16"/>
      <c r="AE141" s="21">
        <f>Tabela22[[#This Row],[SALÁRIO ATUAL]]+Tabela22[[#This Row],[COMPLEMENTO SALARIAL]]+Tabela22[[#This Row],[AJUDA DE CUSTO]]</f>
        <v>0</v>
      </c>
      <c r="AF141" s="16"/>
      <c r="AG141" s="16"/>
      <c r="AH141" s="16"/>
      <c r="AI141" s="16"/>
    </row>
    <row r="142" spans="1:35" hidden="1">
      <c r="A142" s="119"/>
      <c r="B142" s="119"/>
      <c r="C142" s="16"/>
      <c r="D142" s="16"/>
      <c r="E142" s="16"/>
      <c r="F142" s="16"/>
      <c r="G142" s="16"/>
      <c r="H142" s="16"/>
      <c r="I142" s="16"/>
      <c r="J142" s="16"/>
      <c r="K142" s="36"/>
      <c r="L142" s="36"/>
      <c r="M142" s="16"/>
      <c r="N142" s="16"/>
      <c r="O142" s="16"/>
      <c r="P142" s="16"/>
      <c r="Q142" s="16"/>
      <c r="R142" s="19"/>
      <c r="S142" s="19"/>
      <c r="T142" s="16"/>
      <c r="U142" s="21">
        <f>SUM(Tabela22[[#This Row],[PENÚLTIMO SALÁRIO]]+Tabela22[[#This Row],[ÚLTIMO SALÁRIO]]+Tabela22[[#This Row],[SALÁRIO ATUAL]])</f>
        <v>0</v>
      </c>
      <c r="V142" s="21"/>
      <c r="W142" s="21"/>
      <c r="X142" s="16"/>
      <c r="Y142" s="21"/>
      <c r="Z142" s="16"/>
      <c r="AA142" s="21">
        <f>Tabela22[[#This Row],[ÚLTIMO SALÁRIO]]*4.1%</f>
        <v>0</v>
      </c>
      <c r="AB142" s="16"/>
      <c r="AC142" s="16"/>
      <c r="AD142" s="16"/>
      <c r="AE142" s="21">
        <f>Tabela22[[#This Row],[SALÁRIO ATUAL]]+Tabela22[[#This Row],[COMPLEMENTO SALARIAL]]+Tabela22[[#This Row],[AJUDA DE CUSTO]]</f>
        <v>0</v>
      </c>
      <c r="AF142" s="16"/>
      <c r="AG142" s="16"/>
      <c r="AH142" s="16"/>
      <c r="AI142" s="16"/>
    </row>
    <row r="143" spans="1:35" hidden="1">
      <c r="A143" s="120"/>
      <c r="B143" s="120"/>
      <c r="C143" s="16"/>
      <c r="D143" s="16"/>
      <c r="E143" s="16"/>
      <c r="F143" s="16"/>
      <c r="G143" s="16"/>
      <c r="H143" s="16"/>
      <c r="I143" s="16"/>
      <c r="J143" s="16"/>
      <c r="K143" s="36"/>
      <c r="L143" s="36"/>
      <c r="M143" s="16"/>
      <c r="N143" s="16"/>
      <c r="O143" s="16"/>
      <c r="P143" s="16"/>
      <c r="Q143" s="16"/>
      <c r="R143" s="19"/>
      <c r="S143" s="19"/>
      <c r="T143" s="16"/>
      <c r="U143" s="21">
        <f>SUM(Tabela22[[#This Row],[PENÚLTIMO SALÁRIO]]+Tabela22[[#This Row],[ÚLTIMO SALÁRIO]]+Tabela22[[#This Row],[SALÁRIO ATUAL]])</f>
        <v>0</v>
      </c>
      <c r="V143" s="21"/>
      <c r="W143" s="21"/>
      <c r="X143" s="16"/>
      <c r="Y143" s="21"/>
      <c r="Z143" s="16"/>
      <c r="AA143" s="21">
        <f>Tabela22[[#This Row],[ÚLTIMO SALÁRIO]]*4.1%</f>
        <v>0</v>
      </c>
      <c r="AB143" s="16"/>
      <c r="AC143" s="16"/>
      <c r="AD143" s="16"/>
      <c r="AE143" s="21">
        <f>Tabela22[[#This Row],[SALÁRIO ATUAL]]+Tabela22[[#This Row],[COMPLEMENTO SALARIAL]]+Tabela22[[#This Row],[AJUDA DE CUSTO]]</f>
        <v>0</v>
      </c>
      <c r="AF143" s="16"/>
      <c r="AG143" s="16"/>
      <c r="AH143" s="16"/>
      <c r="AI143" s="16"/>
    </row>
    <row r="144" spans="1:35" hidden="1">
      <c r="A144" s="119"/>
      <c r="B144" s="119"/>
      <c r="C144" s="16"/>
      <c r="D144" s="16"/>
      <c r="E144" s="16"/>
      <c r="F144" s="16"/>
      <c r="G144" s="16"/>
      <c r="H144" s="16"/>
      <c r="I144" s="16"/>
      <c r="J144" s="16"/>
      <c r="K144" s="36"/>
      <c r="L144" s="36"/>
      <c r="M144" s="16"/>
      <c r="N144" s="16"/>
      <c r="O144" s="16"/>
      <c r="P144" s="16"/>
      <c r="Q144" s="16"/>
      <c r="R144" s="19"/>
      <c r="S144" s="19"/>
      <c r="T144" s="16"/>
      <c r="U144" s="21">
        <f>SUM(Tabela22[[#This Row],[PENÚLTIMO SALÁRIO]]+Tabela22[[#This Row],[ÚLTIMO SALÁRIO]]+Tabela22[[#This Row],[SALÁRIO ATUAL]])</f>
        <v>0</v>
      </c>
      <c r="V144" s="21"/>
      <c r="W144" s="21"/>
      <c r="X144" s="16"/>
      <c r="Y144" s="21"/>
      <c r="Z144" s="16"/>
      <c r="AA144" s="21">
        <f>Tabela22[[#This Row],[ÚLTIMO SALÁRIO]]*4.1%</f>
        <v>0</v>
      </c>
      <c r="AB144" s="16"/>
      <c r="AC144" s="16"/>
      <c r="AD144" s="16"/>
      <c r="AE144" s="21">
        <f>Tabela22[[#This Row],[SALÁRIO ATUAL]]+Tabela22[[#This Row],[COMPLEMENTO SALARIAL]]+Tabela22[[#This Row],[AJUDA DE CUSTO]]</f>
        <v>0</v>
      </c>
      <c r="AF144" s="16"/>
      <c r="AG144" s="16"/>
      <c r="AH144" s="16"/>
      <c r="AI144" s="16"/>
    </row>
    <row r="145" spans="1:35" hidden="1">
      <c r="A145" s="120"/>
      <c r="B145" s="120"/>
      <c r="C145" s="16"/>
      <c r="D145" s="16"/>
      <c r="E145" s="16"/>
      <c r="F145" s="16"/>
      <c r="G145" s="16"/>
      <c r="H145" s="16"/>
      <c r="I145" s="16"/>
      <c r="J145" s="16"/>
      <c r="K145" s="36"/>
      <c r="L145" s="36"/>
      <c r="M145" s="16"/>
      <c r="N145" s="16"/>
      <c r="O145" s="16"/>
      <c r="P145" s="16"/>
      <c r="Q145" s="16"/>
      <c r="R145" s="19"/>
      <c r="S145" s="19"/>
      <c r="T145" s="16"/>
      <c r="U145" s="21">
        <f>SUM(Tabela22[[#This Row],[PENÚLTIMO SALÁRIO]]+Tabela22[[#This Row],[ÚLTIMO SALÁRIO]]+Tabela22[[#This Row],[SALÁRIO ATUAL]])</f>
        <v>0</v>
      </c>
      <c r="V145" s="21"/>
      <c r="W145" s="21"/>
      <c r="X145" s="16"/>
      <c r="Y145" s="21"/>
      <c r="Z145" s="16"/>
      <c r="AA145" s="21">
        <f>Tabela22[[#This Row],[ÚLTIMO SALÁRIO]]*4.1%</f>
        <v>0</v>
      </c>
      <c r="AB145" s="16"/>
      <c r="AC145" s="16"/>
      <c r="AD145" s="16"/>
      <c r="AE145" s="21">
        <f>Tabela22[[#This Row],[SALÁRIO ATUAL]]+Tabela22[[#This Row],[COMPLEMENTO SALARIAL]]+Tabela22[[#This Row],[AJUDA DE CUSTO]]</f>
        <v>0</v>
      </c>
      <c r="AF145" s="16"/>
      <c r="AG145" s="16"/>
      <c r="AH145" s="16"/>
      <c r="AI145" s="16"/>
    </row>
    <row r="146" spans="1:35" hidden="1">
      <c r="A146" s="119"/>
      <c r="B146" s="119"/>
      <c r="C146" s="16"/>
      <c r="D146" s="16"/>
      <c r="E146" s="16"/>
      <c r="F146" s="16"/>
      <c r="G146" s="16"/>
      <c r="H146" s="16"/>
      <c r="I146" s="16"/>
      <c r="J146" s="16"/>
      <c r="K146" s="36"/>
      <c r="L146" s="36"/>
      <c r="M146" s="16"/>
      <c r="N146" s="16"/>
      <c r="O146" s="16"/>
      <c r="P146" s="16"/>
      <c r="Q146" s="16"/>
      <c r="R146" s="19"/>
      <c r="S146" s="19"/>
      <c r="T146" s="16"/>
      <c r="U146" s="21">
        <f>SUM(Tabela22[[#This Row],[PENÚLTIMO SALÁRIO]]+Tabela22[[#This Row],[ÚLTIMO SALÁRIO]]+Tabela22[[#This Row],[SALÁRIO ATUAL]])</f>
        <v>0</v>
      </c>
      <c r="V146" s="21"/>
      <c r="W146" s="21"/>
      <c r="X146" s="16"/>
      <c r="Y146" s="21"/>
      <c r="Z146" s="16"/>
      <c r="AA146" s="21">
        <f>Tabela22[[#This Row],[ÚLTIMO SALÁRIO]]*4.1%</f>
        <v>0</v>
      </c>
      <c r="AB146" s="16"/>
      <c r="AC146" s="16"/>
      <c r="AD146" s="16"/>
      <c r="AE146" s="21">
        <f>Tabela22[[#This Row],[SALÁRIO ATUAL]]+Tabela22[[#This Row],[COMPLEMENTO SALARIAL]]+Tabela22[[#This Row],[AJUDA DE CUSTO]]</f>
        <v>0</v>
      </c>
      <c r="AF146" s="16"/>
      <c r="AG146" s="16"/>
      <c r="AH146" s="16"/>
      <c r="AI146" s="16"/>
    </row>
    <row r="147" spans="1:35" hidden="1">
      <c r="A147" s="120"/>
      <c r="B147" s="120"/>
      <c r="C147" s="16"/>
      <c r="D147" s="16"/>
      <c r="E147" s="16"/>
      <c r="F147" s="16"/>
      <c r="G147" s="16"/>
      <c r="H147" s="16"/>
      <c r="I147" s="16"/>
      <c r="J147" s="16"/>
      <c r="K147" s="36"/>
      <c r="L147" s="36"/>
      <c r="M147" s="16"/>
      <c r="N147" s="16"/>
      <c r="O147" s="16"/>
      <c r="P147" s="16"/>
      <c r="Q147" s="16"/>
      <c r="R147" s="19"/>
      <c r="S147" s="19"/>
      <c r="T147" s="16"/>
      <c r="U147" s="21">
        <f>SUM(Tabela22[[#This Row],[PENÚLTIMO SALÁRIO]]+Tabela22[[#This Row],[ÚLTIMO SALÁRIO]]+Tabela22[[#This Row],[SALÁRIO ATUAL]])</f>
        <v>0</v>
      </c>
      <c r="V147" s="21"/>
      <c r="W147" s="21"/>
      <c r="X147" s="16"/>
      <c r="Y147" s="21"/>
      <c r="Z147" s="16"/>
      <c r="AA147" s="21">
        <f>Tabela22[[#This Row],[ÚLTIMO SALÁRIO]]*4.1%</f>
        <v>0</v>
      </c>
      <c r="AB147" s="16"/>
      <c r="AC147" s="16"/>
      <c r="AD147" s="16"/>
      <c r="AE147" s="21">
        <f>Tabela22[[#This Row],[SALÁRIO ATUAL]]+Tabela22[[#This Row],[COMPLEMENTO SALARIAL]]+Tabela22[[#This Row],[AJUDA DE CUSTO]]</f>
        <v>0</v>
      </c>
      <c r="AF147" s="16"/>
      <c r="AG147" s="16"/>
      <c r="AH147" s="16"/>
      <c r="AI147" s="16"/>
    </row>
    <row r="148" spans="1:35" hidden="1">
      <c r="A148" s="119"/>
      <c r="B148" s="119"/>
      <c r="C148" s="16"/>
      <c r="D148" s="16"/>
      <c r="E148" s="16"/>
      <c r="F148" s="16"/>
      <c r="G148" s="16"/>
      <c r="H148" s="16"/>
      <c r="I148" s="16"/>
      <c r="J148" s="16"/>
      <c r="K148" s="36"/>
      <c r="L148" s="36"/>
      <c r="M148" s="16"/>
      <c r="N148" s="16"/>
      <c r="O148" s="16"/>
      <c r="P148" s="16"/>
      <c r="Q148" s="16"/>
      <c r="R148" s="19"/>
      <c r="S148" s="19"/>
      <c r="T148" s="16"/>
      <c r="U148" s="21">
        <f>SUM(Tabela22[[#This Row],[PENÚLTIMO SALÁRIO]]+Tabela22[[#This Row],[ÚLTIMO SALÁRIO]]+Tabela22[[#This Row],[SALÁRIO ATUAL]])</f>
        <v>0</v>
      </c>
      <c r="V148" s="21"/>
      <c r="W148" s="21"/>
      <c r="X148" s="16"/>
      <c r="Y148" s="21"/>
      <c r="Z148" s="16"/>
      <c r="AA148" s="21">
        <f>Tabela22[[#This Row],[ÚLTIMO SALÁRIO]]*4.1%</f>
        <v>0</v>
      </c>
      <c r="AB148" s="16"/>
      <c r="AC148" s="16"/>
      <c r="AD148" s="16"/>
      <c r="AE148" s="21">
        <f>Tabela22[[#This Row],[SALÁRIO ATUAL]]+Tabela22[[#This Row],[COMPLEMENTO SALARIAL]]+Tabela22[[#This Row],[AJUDA DE CUSTO]]</f>
        <v>0</v>
      </c>
      <c r="AF148" s="16"/>
      <c r="AG148" s="16"/>
      <c r="AH148" s="16"/>
      <c r="AI148" s="16"/>
    </row>
    <row r="149" spans="1:35" hidden="1">
      <c r="A149" s="120"/>
      <c r="B149" s="120"/>
      <c r="C149" s="16"/>
      <c r="D149" s="16"/>
      <c r="E149" s="16"/>
      <c r="F149" s="16"/>
      <c r="G149" s="16"/>
      <c r="H149" s="16"/>
      <c r="I149" s="16"/>
      <c r="J149" s="16"/>
      <c r="K149" s="36"/>
      <c r="L149" s="36"/>
      <c r="M149" s="16"/>
      <c r="N149" s="16"/>
      <c r="O149" s="16"/>
      <c r="P149" s="16"/>
      <c r="Q149" s="16"/>
      <c r="R149" s="19"/>
      <c r="S149" s="19"/>
      <c r="T149" s="16"/>
      <c r="U149" s="21">
        <f>SUM(Tabela22[[#This Row],[PENÚLTIMO SALÁRIO]]+Tabela22[[#This Row],[ÚLTIMO SALÁRIO]]+Tabela22[[#This Row],[SALÁRIO ATUAL]])</f>
        <v>0</v>
      </c>
      <c r="V149" s="21"/>
      <c r="W149" s="21"/>
      <c r="X149" s="16"/>
      <c r="Y149" s="21"/>
      <c r="Z149" s="16"/>
      <c r="AA149" s="21">
        <f>Tabela22[[#This Row],[ÚLTIMO SALÁRIO]]*4.1%</f>
        <v>0</v>
      </c>
      <c r="AB149" s="16"/>
      <c r="AC149" s="16"/>
      <c r="AD149" s="16"/>
      <c r="AE149" s="21">
        <f>Tabela22[[#This Row],[SALÁRIO ATUAL]]+Tabela22[[#This Row],[COMPLEMENTO SALARIAL]]+Tabela22[[#This Row],[AJUDA DE CUSTO]]</f>
        <v>0</v>
      </c>
      <c r="AF149" s="16"/>
      <c r="AG149" s="16"/>
      <c r="AH149" s="16"/>
      <c r="AI149" s="16"/>
    </row>
    <row r="150" spans="1:35" hidden="1">
      <c r="A150" s="119"/>
      <c r="B150" s="119"/>
      <c r="C150" s="16"/>
      <c r="D150" s="16"/>
      <c r="E150" s="16"/>
      <c r="F150" s="16"/>
      <c r="G150" s="16"/>
      <c r="H150" s="16"/>
      <c r="I150" s="16"/>
      <c r="J150" s="16"/>
      <c r="K150" s="36"/>
      <c r="L150" s="36"/>
      <c r="M150" s="16"/>
      <c r="N150" s="16"/>
      <c r="O150" s="16"/>
      <c r="P150" s="16"/>
      <c r="Q150" s="16"/>
      <c r="R150" s="19"/>
      <c r="S150" s="19"/>
      <c r="T150" s="16"/>
      <c r="U150" s="21">
        <f>SUM(Tabela22[[#This Row],[PENÚLTIMO SALÁRIO]]+Tabela22[[#This Row],[ÚLTIMO SALÁRIO]]+Tabela22[[#This Row],[SALÁRIO ATUAL]])</f>
        <v>0</v>
      </c>
      <c r="V150" s="21"/>
      <c r="W150" s="21"/>
      <c r="X150" s="16"/>
      <c r="Y150" s="21"/>
      <c r="Z150" s="16"/>
      <c r="AA150" s="21">
        <f>Tabela22[[#This Row],[ÚLTIMO SALÁRIO]]*4.1%</f>
        <v>0</v>
      </c>
      <c r="AB150" s="16"/>
      <c r="AC150" s="16"/>
      <c r="AD150" s="16"/>
      <c r="AE150" s="21">
        <f>Tabela22[[#This Row],[SALÁRIO ATUAL]]+Tabela22[[#This Row],[COMPLEMENTO SALARIAL]]+Tabela22[[#This Row],[AJUDA DE CUSTO]]</f>
        <v>0</v>
      </c>
      <c r="AF150" s="16"/>
      <c r="AG150" s="16"/>
      <c r="AH150" s="16"/>
      <c r="AI150" s="16"/>
    </row>
    <row r="151" spans="1:35" hidden="1">
      <c r="A151" s="120"/>
      <c r="B151" s="120"/>
      <c r="C151" s="16"/>
      <c r="D151" s="16"/>
      <c r="E151" s="16"/>
      <c r="F151" s="16"/>
      <c r="G151" s="16"/>
      <c r="H151" s="16"/>
      <c r="I151" s="16"/>
      <c r="J151" s="16"/>
      <c r="K151" s="36"/>
      <c r="L151" s="36"/>
      <c r="M151" s="16"/>
      <c r="N151" s="16"/>
      <c r="O151" s="16"/>
      <c r="P151" s="16"/>
      <c r="Q151" s="16"/>
      <c r="R151" s="19"/>
      <c r="S151" s="19"/>
      <c r="T151" s="16"/>
      <c r="U151" s="21">
        <f>SUM(Tabela22[[#This Row],[PENÚLTIMO SALÁRIO]]+Tabela22[[#This Row],[ÚLTIMO SALÁRIO]]+Tabela22[[#This Row],[SALÁRIO ATUAL]])</f>
        <v>0</v>
      </c>
      <c r="V151" s="21"/>
      <c r="W151" s="21"/>
      <c r="X151" s="16"/>
      <c r="Y151" s="21"/>
      <c r="Z151" s="16"/>
      <c r="AA151" s="21">
        <f>Tabela22[[#This Row],[ÚLTIMO SALÁRIO]]*4.1%</f>
        <v>0</v>
      </c>
      <c r="AB151" s="16"/>
      <c r="AC151" s="16"/>
      <c r="AD151" s="16"/>
      <c r="AE151" s="21">
        <f>Tabela22[[#This Row],[SALÁRIO ATUAL]]+Tabela22[[#This Row],[COMPLEMENTO SALARIAL]]+Tabela22[[#This Row],[AJUDA DE CUSTO]]</f>
        <v>0</v>
      </c>
      <c r="AF151" s="16"/>
      <c r="AG151" s="16"/>
      <c r="AH151" s="16"/>
      <c r="AI151" s="16"/>
    </row>
    <row r="152" spans="1:35" hidden="1">
      <c r="A152" s="119"/>
      <c r="B152" s="119"/>
      <c r="C152" s="16"/>
      <c r="D152" s="16"/>
      <c r="E152" s="16"/>
      <c r="F152" s="16"/>
      <c r="G152" s="16"/>
      <c r="H152" s="16"/>
      <c r="I152" s="16"/>
      <c r="J152" s="16"/>
      <c r="K152" s="36"/>
      <c r="L152" s="36"/>
      <c r="M152" s="16"/>
      <c r="N152" s="16"/>
      <c r="O152" s="16"/>
      <c r="P152" s="16"/>
      <c r="Q152" s="16"/>
      <c r="R152" s="19"/>
      <c r="S152" s="19"/>
      <c r="T152" s="16"/>
      <c r="U152" s="21">
        <f>SUM(Tabela22[[#This Row],[PENÚLTIMO SALÁRIO]]+Tabela22[[#This Row],[ÚLTIMO SALÁRIO]]+Tabela22[[#This Row],[SALÁRIO ATUAL]])</f>
        <v>0</v>
      </c>
      <c r="V152" s="21"/>
      <c r="W152" s="21"/>
      <c r="X152" s="16"/>
      <c r="Y152" s="21"/>
      <c r="Z152" s="16"/>
      <c r="AA152" s="21">
        <f>Tabela22[[#This Row],[ÚLTIMO SALÁRIO]]*4.1%</f>
        <v>0</v>
      </c>
      <c r="AB152" s="16"/>
      <c r="AC152" s="16"/>
      <c r="AD152" s="16"/>
      <c r="AE152" s="21">
        <f>Tabela22[[#This Row],[SALÁRIO ATUAL]]+Tabela22[[#This Row],[COMPLEMENTO SALARIAL]]+Tabela22[[#This Row],[AJUDA DE CUSTO]]</f>
        <v>0</v>
      </c>
      <c r="AF152" s="16"/>
      <c r="AG152" s="16"/>
      <c r="AH152" s="16"/>
      <c r="AI152" s="16"/>
    </row>
    <row r="153" spans="1:35" hidden="1">
      <c r="A153" s="120"/>
      <c r="B153" s="120"/>
      <c r="C153" s="16"/>
      <c r="D153" s="16"/>
      <c r="E153" s="16"/>
      <c r="F153" s="16"/>
      <c r="G153" s="16"/>
      <c r="H153" s="16"/>
      <c r="I153" s="16"/>
      <c r="J153" s="16"/>
      <c r="K153" s="36"/>
      <c r="L153" s="36"/>
      <c r="M153" s="16"/>
      <c r="N153" s="16"/>
      <c r="O153" s="16"/>
      <c r="P153" s="16"/>
      <c r="Q153" s="16"/>
      <c r="R153" s="19"/>
      <c r="S153" s="19"/>
      <c r="T153" s="16"/>
      <c r="U153" s="21">
        <f>SUM(Tabela22[[#This Row],[PENÚLTIMO SALÁRIO]]+Tabela22[[#This Row],[ÚLTIMO SALÁRIO]]+Tabela22[[#This Row],[SALÁRIO ATUAL]])</f>
        <v>0</v>
      </c>
      <c r="V153" s="21"/>
      <c r="W153" s="21"/>
      <c r="X153" s="16"/>
      <c r="Y153" s="21"/>
      <c r="Z153" s="16"/>
      <c r="AA153" s="21">
        <f>Tabela22[[#This Row],[ÚLTIMO SALÁRIO]]*4.1%</f>
        <v>0</v>
      </c>
      <c r="AB153" s="16"/>
      <c r="AC153" s="16"/>
      <c r="AD153" s="16"/>
      <c r="AE153" s="21">
        <f>Tabela22[[#This Row],[SALÁRIO ATUAL]]+Tabela22[[#This Row],[COMPLEMENTO SALARIAL]]+Tabela22[[#This Row],[AJUDA DE CUSTO]]</f>
        <v>0</v>
      </c>
      <c r="AF153" s="16"/>
      <c r="AG153" s="16"/>
      <c r="AH153" s="16"/>
      <c r="AI153" s="16"/>
    </row>
    <row r="154" spans="1:35" hidden="1">
      <c r="A154" s="119"/>
      <c r="B154" s="119"/>
      <c r="C154" s="16"/>
      <c r="D154" s="16"/>
      <c r="E154" s="16"/>
      <c r="F154" s="16"/>
      <c r="G154" s="16"/>
      <c r="H154" s="16"/>
      <c r="I154" s="16"/>
      <c r="J154" s="16"/>
      <c r="K154" s="36"/>
      <c r="L154" s="36"/>
      <c r="M154" s="16"/>
      <c r="N154" s="16"/>
      <c r="O154" s="16"/>
      <c r="P154" s="16"/>
      <c r="Q154" s="16"/>
      <c r="R154" s="19"/>
      <c r="S154" s="19"/>
      <c r="T154" s="16"/>
      <c r="U154" s="21">
        <f>SUM(Tabela22[[#This Row],[PENÚLTIMO SALÁRIO]]+Tabela22[[#This Row],[ÚLTIMO SALÁRIO]]+Tabela22[[#This Row],[SALÁRIO ATUAL]])</f>
        <v>0</v>
      </c>
      <c r="V154" s="21"/>
      <c r="W154" s="21"/>
      <c r="X154" s="16"/>
      <c r="Y154" s="21"/>
      <c r="Z154" s="16"/>
      <c r="AA154" s="21">
        <f>Tabela22[[#This Row],[ÚLTIMO SALÁRIO]]*4.1%</f>
        <v>0</v>
      </c>
      <c r="AB154" s="16"/>
      <c r="AC154" s="16"/>
      <c r="AD154" s="16"/>
      <c r="AE154" s="21">
        <f>Tabela22[[#This Row],[SALÁRIO ATUAL]]+Tabela22[[#This Row],[COMPLEMENTO SALARIAL]]+Tabela22[[#This Row],[AJUDA DE CUSTO]]</f>
        <v>0</v>
      </c>
      <c r="AF154" s="16"/>
      <c r="AG154" s="16"/>
      <c r="AH154" s="16"/>
      <c r="AI154" s="16"/>
    </row>
    <row r="155" spans="1:35" hidden="1">
      <c r="A155" s="120"/>
      <c r="B155" s="120"/>
      <c r="C155" s="16"/>
      <c r="D155" s="16"/>
      <c r="E155" s="16"/>
      <c r="F155" s="16"/>
      <c r="G155" s="16"/>
      <c r="H155" s="16"/>
      <c r="I155" s="16"/>
      <c r="J155" s="16"/>
      <c r="K155" s="36"/>
      <c r="L155" s="36"/>
      <c r="M155" s="16"/>
      <c r="N155" s="16"/>
      <c r="O155" s="16"/>
      <c r="P155" s="16"/>
      <c r="Q155" s="16"/>
      <c r="R155" s="19"/>
      <c r="S155" s="19"/>
      <c r="T155" s="16"/>
      <c r="U155" s="21">
        <f>SUM(Tabela22[[#This Row],[PENÚLTIMO SALÁRIO]]+Tabela22[[#This Row],[ÚLTIMO SALÁRIO]]+Tabela22[[#This Row],[SALÁRIO ATUAL]])</f>
        <v>0</v>
      </c>
      <c r="V155" s="21"/>
      <c r="W155" s="21"/>
      <c r="X155" s="16"/>
      <c r="Y155" s="21"/>
      <c r="Z155" s="16"/>
      <c r="AA155" s="21">
        <f>Tabela22[[#This Row],[ÚLTIMO SALÁRIO]]*4.1%</f>
        <v>0</v>
      </c>
      <c r="AB155" s="16"/>
      <c r="AC155" s="16"/>
      <c r="AD155" s="16"/>
      <c r="AE155" s="21">
        <f>Tabela22[[#This Row],[SALÁRIO ATUAL]]+Tabela22[[#This Row],[COMPLEMENTO SALARIAL]]+Tabela22[[#This Row],[AJUDA DE CUSTO]]</f>
        <v>0</v>
      </c>
      <c r="AF155" s="16"/>
      <c r="AG155" s="16"/>
      <c r="AH155" s="16"/>
      <c r="AI155" s="16"/>
    </row>
    <row r="156" spans="1:35" hidden="1">
      <c r="A156" s="119"/>
      <c r="B156" s="119"/>
      <c r="C156" s="16"/>
      <c r="D156" s="16"/>
      <c r="E156" s="16"/>
      <c r="F156" s="16"/>
      <c r="G156" s="16"/>
      <c r="H156" s="16"/>
      <c r="I156" s="16"/>
      <c r="J156" s="16"/>
      <c r="K156" s="36"/>
      <c r="L156" s="36"/>
      <c r="M156" s="16"/>
      <c r="N156" s="16"/>
      <c r="O156" s="16"/>
      <c r="P156" s="16"/>
      <c r="Q156" s="16"/>
      <c r="R156" s="19"/>
      <c r="S156" s="19"/>
      <c r="T156" s="16"/>
      <c r="U156" s="21">
        <f>SUM(Tabela22[[#This Row],[PENÚLTIMO SALÁRIO]]+Tabela22[[#This Row],[ÚLTIMO SALÁRIO]]+Tabela22[[#This Row],[SALÁRIO ATUAL]])</f>
        <v>0</v>
      </c>
      <c r="V156" s="21"/>
      <c r="W156" s="21"/>
      <c r="X156" s="16"/>
      <c r="Y156" s="21"/>
      <c r="Z156" s="16"/>
      <c r="AA156" s="21">
        <f>Tabela22[[#This Row],[ÚLTIMO SALÁRIO]]*4.1%</f>
        <v>0</v>
      </c>
      <c r="AB156" s="16"/>
      <c r="AC156" s="16"/>
      <c r="AD156" s="16"/>
      <c r="AE156" s="21">
        <f>Tabela22[[#This Row],[SALÁRIO ATUAL]]+Tabela22[[#This Row],[COMPLEMENTO SALARIAL]]+Tabela22[[#This Row],[AJUDA DE CUSTO]]</f>
        <v>0</v>
      </c>
      <c r="AF156" s="16"/>
      <c r="AG156" s="16"/>
      <c r="AH156" s="16"/>
      <c r="AI156" s="16"/>
    </row>
    <row r="157" spans="1:35" hidden="1">
      <c r="A157" s="120"/>
      <c r="B157" s="120"/>
      <c r="C157" s="16"/>
      <c r="D157" s="16"/>
      <c r="E157" s="16"/>
      <c r="F157" s="16"/>
      <c r="G157" s="16"/>
      <c r="H157" s="16"/>
      <c r="I157" s="16"/>
      <c r="J157" s="16"/>
      <c r="K157" s="36"/>
      <c r="L157" s="36"/>
      <c r="M157" s="16"/>
      <c r="N157" s="16"/>
      <c r="O157" s="16"/>
      <c r="P157" s="16"/>
      <c r="Q157" s="16"/>
      <c r="R157" s="19"/>
      <c r="S157" s="19"/>
      <c r="T157" s="16"/>
      <c r="U157" s="21">
        <f>SUM(Tabela22[[#This Row],[PENÚLTIMO SALÁRIO]]+Tabela22[[#This Row],[ÚLTIMO SALÁRIO]]+Tabela22[[#This Row],[SALÁRIO ATUAL]])</f>
        <v>0</v>
      </c>
      <c r="V157" s="21"/>
      <c r="W157" s="21"/>
      <c r="X157" s="16"/>
      <c r="Y157" s="21"/>
      <c r="Z157" s="16"/>
      <c r="AA157" s="21">
        <f>Tabela22[[#This Row],[ÚLTIMO SALÁRIO]]*4.1%</f>
        <v>0</v>
      </c>
      <c r="AB157" s="16"/>
      <c r="AC157" s="16"/>
      <c r="AD157" s="16"/>
      <c r="AE157" s="21">
        <f>Tabela22[[#This Row],[SALÁRIO ATUAL]]+Tabela22[[#This Row],[COMPLEMENTO SALARIAL]]+Tabela22[[#This Row],[AJUDA DE CUSTO]]</f>
        <v>0</v>
      </c>
      <c r="AF157" s="16"/>
      <c r="AG157" s="16"/>
      <c r="AH157" s="16"/>
      <c r="AI157" s="16"/>
    </row>
    <row r="158" spans="1:35" hidden="1">
      <c r="A158" s="119"/>
      <c r="B158" s="119"/>
      <c r="C158" s="16"/>
      <c r="D158" s="16"/>
      <c r="E158" s="16"/>
      <c r="F158" s="16"/>
      <c r="G158" s="16"/>
      <c r="H158" s="16"/>
      <c r="I158" s="16"/>
      <c r="J158" s="16"/>
      <c r="K158" s="36"/>
      <c r="L158" s="36"/>
      <c r="M158" s="16"/>
      <c r="N158" s="16"/>
      <c r="O158" s="16"/>
      <c r="P158" s="16"/>
      <c r="Q158" s="16"/>
      <c r="R158" s="19"/>
      <c r="S158" s="19"/>
      <c r="T158" s="16"/>
      <c r="U158" s="21">
        <f>SUM(Tabela22[[#This Row],[PENÚLTIMO SALÁRIO]]+Tabela22[[#This Row],[ÚLTIMO SALÁRIO]]+Tabela22[[#This Row],[SALÁRIO ATUAL]])</f>
        <v>0</v>
      </c>
      <c r="V158" s="21"/>
      <c r="W158" s="21"/>
      <c r="X158" s="16"/>
      <c r="Y158" s="21"/>
      <c r="Z158" s="16"/>
      <c r="AA158" s="21">
        <f>Tabela22[[#This Row],[ÚLTIMO SALÁRIO]]*4.1%</f>
        <v>0</v>
      </c>
      <c r="AB158" s="16"/>
      <c r="AC158" s="16"/>
      <c r="AD158" s="16"/>
      <c r="AE158" s="21">
        <f>Tabela22[[#This Row],[SALÁRIO ATUAL]]+Tabela22[[#This Row],[COMPLEMENTO SALARIAL]]+Tabela22[[#This Row],[AJUDA DE CUSTO]]</f>
        <v>0</v>
      </c>
      <c r="AF158" s="16"/>
      <c r="AG158" s="16"/>
      <c r="AH158" s="16"/>
      <c r="AI158" s="16"/>
    </row>
    <row r="159" spans="1:35" hidden="1">
      <c r="A159" s="120"/>
      <c r="B159" s="120"/>
      <c r="C159" s="16"/>
      <c r="D159" s="16"/>
      <c r="E159" s="16"/>
      <c r="F159" s="16"/>
      <c r="G159" s="16"/>
      <c r="H159" s="16"/>
      <c r="I159" s="16"/>
      <c r="J159" s="16"/>
      <c r="K159" s="36"/>
      <c r="L159" s="36"/>
      <c r="M159" s="16"/>
      <c r="N159" s="16"/>
      <c r="O159" s="16"/>
      <c r="P159" s="16"/>
      <c r="Q159" s="16"/>
      <c r="R159" s="16"/>
      <c r="S159" s="19"/>
      <c r="T159" s="16"/>
      <c r="U159" s="21">
        <f>SUM(Tabela22[[#This Row],[PENÚLTIMO SALÁRIO]]+Tabela22[[#This Row],[ÚLTIMO SALÁRIO]]+Tabela22[[#This Row],[SALÁRIO ATUAL]])</f>
        <v>0</v>
      </c>
      <c r="V159" s="21"/>
      <c r="W159" s="21"/>
      <c r="X159" s="16"/>
      <c r="Y159" s="21"/>
      <c r="Z159" s="16"/>
      <c r="AA159" s="21">
        <f>Tabela22[[#This Row],[ÚLTIMO SALÁRIO]]*4.1%</f>
        <v>0</v>
      </c>
      <c r="AB159" s="16"/>
      <c r="AC159" s="16"/>
      <c r="AD159" s="16"/>
      <c r="AE159" s="21">
        <f>Tabela22[[#This Row],[SALÁRIO ATUAL]]+Tabela22[[#This Row],[COMPLEMENTO SALARIAL]]+Tabela22[[#This Row],[AJUDA DE CUSTO]]</f>
        <v>0</v>
      </c>
      <c r="AF159" s="16"/>
      <c r="AG159" s="16"/>
      <c r="AH159" s="16"/>
      <c r="AI159" s="16"/>
    </row>
    <row r="160" spans="1:35" hidden="1">
      <c r="A160" s="119"/>
      <c r="B160" s="119"/>
      <c r="C160" s="16"/>
      <c r="D160" s="16"/>
      <c r="E160" s="16"/>
      <c r="F160" s="16"/>
      <c r="G160" s="16"/>
      <c r="H160" s="16"/>
      <c r="I160" s="16"/>
      <c r="J160" s="16"/>
      <c r="K160" s="36"/>
      <c r="L160" s="36"/>
      <c r="M160" s="16"/>
      <c r="N160" s="16"/>
      <c r="O160" s="16"/>
      <c r="P160" s="16"/>
      <c r="Q160" s="16"/>
      <c r="R160" s="16"/>
      <c r="S160" s="19"/>
      <c r="T160" s="16"/>
      <c r="U160" s="21">
        <f>SUM(Tabela22[[#This Row],[PENÚLTIMO SALÁRIO]]+Tabela22[[#This Row],[ÚLTIMO SALÁRIO]]+Tabela22[[#This Row],[SALÁRIO ATUAL]])</f>
        <v>0</v>
      </c>
      <c r="V160" s="21"/>
      <c r="W160" s="21"/>
      <c r="X160" s="16"/>
      <c r="Y160" s="21"/>
      <c r="Z160" s="16"/>
      <c r="AA160" s="21">
        <f>Tabela22[[#This Row],[ÚLTIMO SALÁRIO]]*4.1%</f>
        <v>0</v>
      </c>
      <c r="AB160" s="16"/>
      <c r="AC160" s="16"/>
      <c r="AD160" s="16"/>
      <c r="AE160" s="21">
        <f>Tabela22[[#This Row],[SALÁRIO ATUAL]]+Tabela22[[#This Row],[COMPLEMENTO SALARIAL]]+Tabela22[[#This Row],[AJUDA DE CUSTO]]</f>
        <v>0</v>
      </c>
      <c r="AF160" s="16"/>
      <c r="AG160" s="16"/>
      <c r="AH160" s="16"/>
      <c r="AI160" s="16"/>
    </row>
    <row r="161" spans="1:35" hidden="1">
      <c r="A161" s="120"/>
      <c r="B161" s="120"/>
      <c r="C161" s="16"/>
      <c r="D161" s="16"/>
      <c r="E161" s="16"/>
      <c r="F161" s="16"/>
      <c r="G161" s="16"/>
      <c r="H161" s="16"/>
      <c r="I161" s="16"/>
      <c r="J161" s="16"/>
      <c r="K161" s="36"/>
      <c r="L161" s="36"/>
      <c r="M161" s="16"/>
      <c r="N161" s="16"/>
      <c r="O161" s="16"/>
      <c r="P161" s="16"/>
      <c r="Q161" s="16"/>
      <c r="R161" s="16"/>
      <c r="S161" s="19"/>
      <c r="T161" s="16"/>
      <c r="U161" s="21">
        <f>SUM(Tabela22[[#This Row],[PENÚLTIMO SALÁRIO]]+Tabela22[[#This Row],[ÚLTIMO SALÁRIO]]+Tabela22[[#This Row],[SALÁRIO ATUAL]])</f>
        <v>0</v>
      </c>
      <c r="V161" s="21"/>
      <c r="W161" s="21"/>
      <c r="X161" s="16"/>
      <c r="Y161" s="21"/>
      <c r="Z161" s="16"/>
      <c r="AA161" s="21">
        <f>Tabela22[[#This Row],[ÚLTIMO SALÁRIO]]*4.1%</f>
        <v>0</v>
      </c>
      <c r="AB161" s="16"/>
      <c r="AC161" s="16"/>
      <c r="AD161" s="16"/>
      <c r="AE161" s="21">
        <f>Tabela22[[#This Row],[SALÁRIO ATUAL]]+Tabela22[[#This Row],[COMPLEMENTO SALARIAL]]+Tabela22[[#This Row],[AJUDA DE CUSTO]]</f>
        <v>0</v>
      </c>
      <c r="AF161" s="16"/>
      <c r="AG161" s="16"/>
      <c r="AH161" s="16"/>
      <c r="AI161" s="16"/>
    </row>
    <row r="162" spans="1:35" hidden="1">
      <c r="A162" s="119"/>
      <c r="B162" s="119"/>
      <c r="C162" s="16"/>
      <c r="D162" s="16"/>
      <c r="E162" s="16"/>
      <c r="F162" s="16"/>
      <c r="G162" s="16"/>
      <c r="H162" s="16"/>
      <c r="I162" s="16"/>
      <c r="J162" s="16"/>
      <c r="K162" s="36"/>
      <c r="L162" s="16"/>
      <c r="M162" s="16"/>
      <c r="N162" s="16"/>
      <c r="O162" s="16"/>
      <c r="P162" s="16"/>
      <c r="Q162" s="16"/>
      <c r="R162" s="16"/>
      <c r="S162" s="19"/>
      <c r="T162" s="16"/>
      <c r="U162" s="21">
        <f>SUM(Tabela22[[#This Row],[PENÚLTIMO SALÁRIO]]+Tabela22[[#This Row],[ÚLTIMO SALÁRIO]]+Tabela22[[#This Row],[SALÁRIO ATUAL]])</f>
        <v>0</v>
      </c>
      <c r="V162" s="21"/>
      <c r="W162" s="21"/>
      <c r="X162" s="16"/>
      <c r="Y162" s="21"/>
      <c r="Z162" s="16"/>
      <c r="AA162" s="21">
        <f>Tabela22[[#This Row],[ÚLTIMO SALÁRIO]]*4.1%</f>
        <v>0</v>
      </c>
      <c r="AB162" s="16"/>
      <c r="AC162" s="16"/>
      <c r="AD162" s="16"/>
      <c r="AE162" s="21">
        <f>Tabela22[[#This Row],[SALÁRIO ATUAL]]+Tabela22[[#This Row],[COMPLEMENTO SALARIAL]]+Tabela22[[#This Row],[AJUDA DE CUSTO]]</f>
        <v>0</v>
      </c>
      <c r="AF162" s="16"/>
      <c r="AG162" s="16"/>
      <c r="AH162" s="16"/>
      <c r="AI162" s="16"/>
    </row>
    <row r="163" spans="1:35" hidden="1">
      <c r="A163" s="120"/>
      <c r="B163" s="120"/>
      <c r="C163" s="16"/>
      <c r="D163" s="16"/>
      <c r="E163" s="16"/>
      <c r="F163" s="16"/>
      <c r="G163" s="16"/>
      <c r="H163" s="16"/>
      <c r="I163" s="16"/>
      <c r="J163" s="16"/>
      <c r="K163" s="36"/>
      <c r="L163" s="16"/>
      <c r="M163" s="16"/>
      <c r="N163" s="16"/>
      <c r="O163" s="16"/>
      <c r="P163" s="16"/>
      <c r="Q163" s="16"/>
      <c r="R163" s="16"/>
      <c r="S163" s="19"/>
      <c r="T163" s="16"/>
      <c r="U163" s="21">
        <f>SUM(Tabela22[[#This Row],[PENÚLTIMO SALÁRIO]]+Tabela22[[#This Row],[ÚLTIMO SALÁRIO]]+Tabela22[[#This Row],[SALÁRIO ATUAL]])</f>
        <v>0</v>
      </c>
      <c r="V163" s="21"/>
      <c r="W163" s="21"/>
      <c r="X163" s="16"/>
      <c r="Y163" s="21"/>
      <c r="Z163" s="16"/>
      <c r="AA163" s="21">
        <f>Tabela22[[#This Row],[ÚLTIMO SALÁRIO]]*4.1%</f>
        <v>0</v>
      </c>
      <c r="AB163" s="16"/>
      <c r="AC163" s="16"/>
      <c r="AD163" s="16"/>
      <c r="AE163" s="21">
        <f>Tabela22[[#This Row],[SALÁRIO ATUAL]]+Tabela22[[#This Row],[COMPLEMENTO SALARIAL]]+Tabela22[[#This Row],[AJUDA DE CUSTO]]</f>
        <v>0</v>
      </c>
      <c r="AF163" s="16"/>
      <c r="AG163" s="16"/>
      <c r="AH163" s="16"/>
      <c r="AI163" s="16"/>
    </row>
    <row r="164" spans="1:35" hidden="1">
      <c r="A164" s="119"/>
      <c r="B164" s="119"/>
      <c r="C164" s="16"/>
      <c r="D164" s="16"/>
      <c r="E164" s="16"/>
      <c r="F164" s="16"/>
      <c r="G164" s="16"/>
      <c r="H164" s="16"/>
      <c r="I164" s="16"/>
      <c r="J164" s="16"/>
      <c r="K164" s="36"/>
      <c r="L164" s="16"/>
      <c r="M164" s="16"/>
      <c r="N164" s="16"/>
      <c r="O164" s="16"/>
      <c r="P164" s="16"/>
      <c r="Q164" s="16"/>
      <c r="R164" s="16"/>
      <c r="S164" s="19"/>
      <c r="T164" s="16"/>
      <c r="U164" s="21">
        <f>SUM(Tabela22[[#This Row],[PENÚLTIMO SALÁRIO]]+Tabela22[[#This Row],[ÚLTIMO SALÁRIO]]+Tabela22[[#This Row],[SALÁRIO ATUAL]])</f>
        <v>0</v>
      </c>
      <c r="V164" s="21"/>
      <c r="W164" s="21"/>
      <c r="X164" s="16"/>
      <c r="Y164" s="21"/>
      <c r="Z164" s="16"/>
      <c r="AA164" s="21">
        <f>Tabela22[[#This Row],[ÚLTIMO SALÁRIO]]*4.1%</f>
        <v>0</v>
      </c>
      <c r="AB164" s="16"/>
      <c r="AC164" s="16"/>
      <c r="AD164" s="16"/>
      <c r="AE164" s="21">
        <f>Tabela22[[#This Row],[SALÁRIO ATUAL]]+Tabela22[[#This Row],[COMPLEMENTO SALARIAL]]+Tabela22[[#This Row],[AJUDA DE CUSTO]]</f>
        <v>0</v>
      </c>
      <c r="AF164" s="16"/>
      <c r="AG164" s="16"/>
      <c r="AH164" s="16"/>
      <c r="AI164" s="16"/>
    </row>
    <row r="165" spans="1:35" hidden="1">
      <c r="A165" s="120"/>
      <c r="B165" s="120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21">
        <f>SUM(Tabela22[[#This Row],[PENÚLTIMO SALÁRIO]]+Tabela22[[#This Row],[ÚLTIMO SALÁRIO]]+Tabela22[[#This Row],[SALÁRIO ATUAL]])</f>
        <v>0</v>
      </c>
      <c r="V165" s="21"/>
      <c r="W165" s="21"/>
      <c r="X165" s="16"/>
      <c r="Y165" s="21"/>
      <c r="Z165" s="16"/>
      <c r="AA165" s="21">
        <f>Tabela22[[#This Row],[ÚLTIMO SALÁRIO]]*4.1%</f>
        <v>0</v>
      </c>
      <c r="AB165" s="16"/>
      <c r="AC165" s="16"/>
      <c r="AD165" s="16"/>
      <c r="AE165" s="21">
        <f>Tabela22[[#This Row],[SALÁRIO ATUAL]]+Tabela22[[#This Row],[COMPLEMENTO SALARIAL]]+Tabela22[[#This Row],[AJUDA DE CUSTO]]</f>
        <v>0</v>
      </c>
      <c r="AF165" s="16"/>
      <c r="AG165" s="16"/>
      <c r="AH165" s="16"/>
      <c r="AI165" s="16"/>
    </row>
    <row r="166" spans="1:35" hidden="1">
      <c r="A166" s="119"/>
      <c r="B166" s="119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21">
        <f>SUM(Tabela22[[#This Row],[PENÚLTIMO SALÁRIO]]+Tabela22[[#This Row],[ÚLTIMO SALÁRIO]]+Tabela22[[#This Row],[SALÁRIO ATUAL]])</f>
        <v>0</v>
      </c>
      <c r="V166" s="21"/>
      <c r="W166" s="21"/>
      <c r="X166" s="16"/>
      <c r="Y166" s="21"/>
      <c r="Z166" s="16"/>
      <c r="AA166" s="21">
        <f>Tabela22[[#This Row],[ÚLTIMO SALÁRIO]]*4.1%</f>
        <v>0</v>
      </c>
      <c r="AB166" s="16"/>
      <c r="AC166" s="16"/>
      <c r="AD166" s="16"/>
      <c r="AE166" s="21">
        <f>Tabela22[[#This Row],[SALÁRIO ATUAL]]+Tabela22[[#This Row],[COMPLEMENTO SALARIAL]]+Tabela22[[#This Row],[AJUDA DE CUSTO]]</f>
        <v>0</v>
      </c>
      <c r="AF166" s="16"/>
      <c r="AG166" s="16"/>
      <c r="AH166" s="16"/>
      <c r="AI166" s="16"/>
    </row>
    <row r="167" spans="1:35" hidden="1">
      <c r="A167" s="120"/>
      <c r="B167" s="120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21">
        <f>SUM(Tabela22[[#This Row],[PENÚLTIMO SALÁRIO]]+Tabela22[[#This Row],[ÚLTIMO SALÁRIO]]+Tabela22[[#This Row],[SALÁRIO ATUAL]])</f>
        <v>0</v>
      </c>
      <c r="V167" s="21"/>
      <c r="W167" s="21"/>
      <c r="X167" s="16"/>
      <c r="Y167" s="21"/>
      <c r="Z167" s="16"/>
      <c r="AA167" s="21">
        <f>Tabela22[[#This Row],[ÚLTIMO SALÁRIO]]*4.1%</f>
        <v>0</v>
      </c>
      <c r="AB167" s="16"/>
      <c r="AC167" s="16"/>
      <c r="AD167" s="16"/>
      <c r="AE167" s="21">
        <f>Tabela22[[#This Row],[SALÁRIO ATUAL]]+Tabela22[[#This Row],[COMPLEMENTO SALARIAL]]+Tabela22[[#This Row],[AJUDA DE CUSTO]]</f>
        <v>0</v>
      </c>
      <c r="AF167" s="16"/>
      <c r="AG167" s="16"/>
      <c r="AH167" s="16"/>
      <c r="AI167" s="16"/>
    </row>
    <row r="168" spans="1:35" hidden="1">
      <c r="A168" s="119"/>
      <c r="B168" s="119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21">
        <f>SUM(Tabela22[[#This Row],[PENÚLTIMO SALÁRIO]]+Tabela22[[#This Row],[ÚLTIMO SALÁRIO]]+Tabela22[[#This Row],[SALÁRIO ATUAL]])</f>
        <v>0</v>
      </c>
      <c r="V168" s="21"/>
      <c r="W168" s="21"/>
      <c r="X168" s="16"/>
      <c r="Y168" s="21"/>
      <c r="Z168" s="16"/>
      <c r="AA168" s="21">
        <f>Tabela22[[#This Row],[ÚLTIMO SALÁRIO]]*4.1%</f>
        <v>0</v>
      </c>
      <c r="AB168" s="16"/>
      <c r="AC168" s="16"/>
      <c r="AD168" s="16"/>
      <c r="AE168" s="21">
        <f>Tabela22[[#This Row],[SALÁRIO ATUAL]]+Tabela22[[#This Row],[COMPLEMENTO SALARIAL]]+Tabela22[[#This Row],[AJUDA DE CUSTO]]</f>
        <v>0</v>
      </c>
      <c r="AF168" s="16"/>
      <c r="AG168" s="16"/>
      <c r="AH168" s="16"/>
      <c r="AI168" s="16"/>
    </row>
    <row r="169" spans="1:35" hidden="1">
      <c r="A169" s="120"/>
      <c r="B169" s="120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21">
        <f>SUM(Tabela22[[#This Row],[PENÚLTIMO SALÁRIO]]+Tabela22[[#This Row],[ÚLTIMO SALÁRIO]]+Tabela22[[#This Row],[SALÁRIO ATUAL]])</f>
        <v>0</v>
      </c>
      <c r="V169" s="21"/>
      <c r="W169" s="21"/>
      <c r="X169" s="16"/>
      <c r="Y169" s="21"/>
      <c r="Z169" s="16"/>
      <c r="AA169" s="21">
        <f>Tabela22[[#This Row],[ÚLTIMO SALÁRIO]]*4.1%</f>
        <v>0</v>
      </c>
      <c r="AB169" s="16"/>
      <c r="AC169" s="16"/>
      <c r="AD169" s="16"/>
      <c r="AE169" s="21">
        <f>Tabela22[[#This Row],[SALÁRIO ATUAL]]+Tabela22[[#This Row],[COMPLEMENTO SALARIAL]]+Tabela22[[#This Row],[AJUDA DE CUSTO]]</f>
        <v>0</v>
      </c>
      <c r="AF169" s="16"/>
      <c r="AG169" s="16"/>
      <c r="AH169" s="16"/>
      <c r="AI169" s="16"/>
    </row>
    <row r="170" spans="1:35" hidden="1">
      <c r="A170" s="119"/>
      <c r="B170" s="119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21">
        <f>SUM(Tabela22[[#This Row],[PENÚLTIMO SALÁRIO]]+Tabela22[[#This Row],[ÚLTIMO SALÁRIO]]+Tabela22[[#This Row],[SALÁRIO ATUAL]])</f>
        <v>0</v>
      </c>
      <c r="V170" s="21"/>
      <c r="W170" s="21"/>
      <c r="X170" s="16"/>
      <c r="Y170" s="21"/>
      <c r="Z170" s="16"/>
      <c r="AA170" s="21">
        <f>Tabela22[[#This Row],[ÚLTIMO SALÁRIO]]*4.1%</f>
        <v>0</v>
      </c>
      <c r="AB170" s="16"/>
      <c r="AC170" s="16"/>
      <c r="AD170" s="16"/>
      <c r="AE170" s="21">
        <f>Tabela22[[#This Row],[SALÁRIO ATUAL]]+Tabela22[[#This Row],[COMPLEMENTO SALARIAL]]+Tabela22[[#This Row],[AJUDA DE CUSTO]]</f>
        <v>0</v>
      </c>
      <c r="AF170" s="16"/>
      <c r="AG170" s="16"/>
      <c r="AH170" s="16"/>
      <c r="AI170" s="16"/>
    </row>
    <row r="171" spans="1:35" hidden="1"/>
    <row r="175" spans="1:35">
      <c r="AA175" s="214"/>
    </row>
  </sheetData>
  <sheetProtection algorithmName="SHA-512" hashValue="rc6wvJDU1PwsfAQ6vUg6ZXCzD19nyRlnWsWLsTciK8eI1XjIhbaMclco7JHUvoDn3HeE1/Rc5l33Tsdm1cVWfQ==" saltValue="Fmylt+NgfvE22270q0FKLQ==" spinCount="100000" sheet="1" sort="0" autoFilter="0"/>
  <mergeCells count="1">
    <mergeCell ref="A1:XFD4"/>
  </mergeCells>
  <phoneticPr fontId="16" type="noConversion"/>
  <dataValidations count="3">
    <dataValidation type="list" allowBlank="1" showInputMessage="1" showErrorMessage="1" sqref="J6:J170" xr:uid="{43B5BC75-2600-4C44-A3BF-85CA3D68C8AD}">
      <formula1>"FEMININO,MASCULINO"</formula1>
    </dataValidation>
    <dataValidation type="list" allowBlank="1" showInputMessage="1" showErrorMessage="1" sqref="E6:E170" xr:uid="{70A150F8-4759-46E3-8753-792A3912CCC4}">
      <formula1>"ATIVO,DESATIVADO"</formula1>
    </dataValidation>
    <dataValidation type="list" allowBlank="1" showInputMessage="1" showErrorMessage="1" sqref="D6:D170" xr:uid="{D8DA41FC-DFC4-41E5-9DB6-84A3D68AF965}">
      <formula1>"AGIL,AGT,AGL"</formula1>
    </dataValidation>
  </dataValidations>
  <hyperlinks>
    <hyperlink ref="K11" r:id="rId1" xr:uid="{855D266F-2D49-435F-8044-BB847166F4D5}"/>
    <hyperlink ref="K26" r:id="rId2" xr:uid="{B2CA0466-5BA7-4B56-A12B-F45CC2AC01A3}"/>
    <hyperlink ref="K20" r:id="rId3" xr:uid="{1AE89620-B0F0-4D55-8F17-C0C06395D22A}"/>
    <hyperlink ref="K23" r:id="rId4" xr:uid="{4C8B9612-9B2E-4A48-8BA8-3D99FFB87590}"/>
    <hyperlink ref="K21" r:id="rId5" xr:uid="{0BC375AE-B3EC-4C60-94BA-2CDC9FEEE522}"/>
    <hyperlink ref="K34" r:id="rId6" xr:uid="{650136DA-C303-4CA8-8E92-EAB4B2D3529C}"/>
    <hyperlink ref="L14" r:id="rId7" xr:uid="{23D7BBB3-44AC-4507-81AC-16F45505ACC8}"/>
    <hyperlink ref="L12" r:id="rId8" xr:uid="{A90600EE-D799-4978-98F5-E85752A2737C}"/>
    <hyperlink ref="L9" r:id="rId9" xr:uid="{15D06EB6-A182-4085-A236-76979560CA5C}"/>
    <hyperlink ref="L26" r:id="rId10" xr:uid="{8DEC04E4-F9CA-49AC-88D1-4CE4A43F2147}"/>
    <hyperlink ref="L7" r:id="rId11" xr:uid="{E3727841-9938-4E66-B256-92DB11C801C2}"/>
    <hyperlink ref="L32" r:id="rId12" xr:uid="{E9C8B957-3974-4A8A-BD32-F7CCC8B78597}"/>
    <hyperlink ref="L20" r:id="rId13" xr:uid="{6EC93ED6-1DA4-40D0-94AF-AC6C7DA90612}"/>
    <hyperlink ref="L27" r:id="rId14" xr:uid="{CE5B52DD-B536-421D-9E68-AD7A3C4FDC83}"/>
    <hyperlink ref="L28" r:id="rId15" xr:uid="{E357FBC6-0FBF-4901-BE3F-DF6BEB657B0A}"/>
    <hyperlink ref="L31" r:id="rId16" xr:uid="{DDB51295-066D-428C-A4CF-AA65E9AB3281}"/>
    <hyperlink ref="L22" r:id="rId17" xr:uid="{9E67B371-1238-4F1A-B3D6-26F77750A673}"/>
    <hyperlink ref="L19" r:id="rId18" xr:uid="{F395F1C1-21B4-46A7-AC6C-1FCC1ADF238F}"/>
    <hyperlink ref="L21" r:id="rId19" xr:uid="{A08D0F0A-9A28-49C1-B325-A424A31CA649}"/>
    <hyperlink ref="L16" r:id="rId20" xr:uid="{C75E0FD6-D4AA-4299-A497-51E44D0B1EC4}"/>
    <hyperlink ref="L11" r:id="rId21" xr:uid="{46E84D72-C596-41C8-9429-8283D6D84BCA}"/>
    <hyperlink ref="K30" r:id="rId22" xr:uid="{8C3415DD-BCC0-49F6-9E0D-AC521CA175E1}"/>
    <hyperlink ref="K24" r:id="rId23" xr:uid="{464A9459-0793-4844-B209-4C04BE1F45D4}"/>
    <hyperlink ref="K15" r:id="rId24" xr:uid="{BE43B920-0253-4CFC-B659-D38F4B9481EF}"/>
    <hyperlink ref="K25" r:id="rId25" xr:uid="{20118F85-5357-4ACB-8B53-3EA66037DAD1}"/>
    <hyperlink ref="K36" r:id="rId26" xr:uid="{3727623A-911D-4D9F-AB9D-F94AD542472C}"/>
    <hyperlink ref="K10" r:id="rId27" xr:uid="{6AE6E017-D9EE-4C0D-A040-457EC60DD5A7}"/>
    <hyperlink ref="K8" r:id="rId28" xr:uid="{F4B315DC-CB0B-4013-B546-2D0E082B442D}"/>
    <hyperlink ref="K13" r:id="rId29" xr:uid="{216EAEC5-D999-4821-8EFA-274E0E250C34}"/>
    <hyperlink ref="K29" r:id="rId30" xr:uid="{00118834-F9F3-41DD-80BD-52C3B9054D47}"/>
    <hyperlink ref="K19" r:id="rId31" xr:uid="{224EDE9D-050D-4824-AE0D-380C42D29EE8}"/>
    <hyperlink ref="K37" r:id="rId32" xr:uid="{552493D5-7D91-4707-B8B8-166573C5DB5B}"/>
    <hyperlink ref="K32" r:id="rId33" xr:uid="{1187A16D-2201-4532-ABB9-E9EEA7264B32}"/>
    <hyperlink ref="K33" r:id="rId34" xr:uid="{8889A26A-2A0E-491A-9AA0-5FCEBF066654}"/>
    <hyperlink ref="K38" r:id="rId35" xr:uid="{036EC13C-3391-43A4-B2B6-6AEBB622A749}"/>
    <hyperlink ref="K39" r:id="rId36" xr:uid="{DA5BB88E-147B-4C82-8350-B1E09BBD3D7A}"/>
    <hyperlink ref="L10" r:id="rId37" xr:uid="{B42F6D1D-6F59-44A2-B50C-ED4182E72E5C}"/>
    <hyperlink ref="K40" r:id="rId38" xr:uid="{93078386-A110-4122-8FCF-1AA2F3373253}"/>
  </hyperlinks>
  <pageMargins left="0.511811024" right="0.511811024" top="0.78740157499999996" bottom="0.78740157499999996" header="0.31496062000000002" footer="0.31496062000000002"/>
  <pageSetup paperSize="9" orientation="portrait" r:id="rId39"/>
  <ignoredErrors>
    <ignoredError sqref="T27" formula="1"/>
    <ignoredError sqref="U11:U12 U21:U22 U26:U28 U31 U9 AA38" calculatedColumn="1"/>
  </ignoredErrors>
  <drawing r:id="rId40"/>
  <legacyDrawing r:id="rId41"/>
  <tableParts count="1">
    <tablePart r:id="rId4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F7DE-3749-45C1-AE35-612690BADEDE}">
  <sheetPr>
    <tabColor theme="1" tint="0.499984740745262"/>
  </sheetPr>
  <dimension ref="A1:AC168"/>
  <sheetViews>
    <sheetView workbookViewId="0">
      <selection activeCell="C6" sqref="C6"/>
    </sheetView>
  </sheetViews>
  <sheetFormatPr defaultRowHeight="15"/>
  <cols>
    <col min="1" max="1" width="3.42578125" customWidth="1"/>
    <col min="3" max="3" width="33.7109375" bestFit="1" customWidth="1"/>
    <col min="4" max="5" width="13.140625" customWidth="1"/>
    <col min="6" max="6" width="16" customWidth="1"/>
    <col min="7" max="7" width="11.28515625" customWidth="1"/>
    <col min="8" max="8" width="14.28515625" bestFit="1" customWidth="1"/>
    <col min="9" max="9" width="14.28515625" customWidth="1"/>
    <col min="10" max="10" width="13.7109375" customWidth="1"/>
    <col min="11" max="11" width="33.5703125" bestFit="1" customWidth="1"/>
    <col min="12" max="12" width="33.5703125" customWidth="1"/>
    <col min="13" max="13" width="78.42578125" bestFit="1" customWidth="1"/>
    <col min="14" max="16" width="14" customWidth="1"/>
    <col min="17" max="17" width="33.7109375" customWidth="1"/>
    <col min="18" max="18" width="14.140625" customWidth="1"/>
    <col min="19" max="19" width="12.85546875" customWidth="1"/>
    <col min="20" max="20" width="11.7109375" customWidth="1"/>
    <col min="21" max="21" width="13.28515625" customWidth="1"/>
    <col min="22" max="22" width="11.140625" bestFit="1" customWidth="1"/>
    <col min="23" max="24" width="14.42578125" customWidth="1"/>
    <col min="25" max="25" width="13.5703125" bestFit="1" customWidth="1"/>
    <col min="26" max="26" width="35.42578125" bestFit="1" customWidth="1"/>
    <col min="27" max="27" width="29.7109375" bestFit="1" customWidth="1"/>
    <col min="28" max="28" width="40.140625" customWidth="1"/>
    <col min="29" max="29" width="16.42578125" customWidth="1"/>
  </cols>
  <sheetData>
    <row r="1" spans="1:29" ht="14.45" customHeight="1">
      <c r="A1" s="223" t="s">
        <v>827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</row>
    <row r="2" spans="1:29" ht="14.45" customHeight="1">
      <c r="A2" s="223"/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</row>
    <row r="3" spans="1:29" ht="14.45" customHeight="1">
      <c r="A3" s="223"/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</row>
    <row r="4" spans="1:29" ht="14.45" customHeight="1">
      <c r="A4" s="223"/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</row>
    <row r="5" spans="1:29" ht="45">
      <c r="A5" s="1" t="s">
        <v>1</v>
      </c>
      <c r="B5" s="1" t="s">
        <v>541</v>
      </c>
      <c r="C5" s="2" t="s">
        <v>2</v>
      </c>
      <c r="D5" s="2" t="s">
        <v>542</v>
      </c>
      <c r="E5" s="2" t="s">
        <v>4</v>
      </c>
      <c r="F5" s="3" t="s">
        <v>543</v>
      </c>
      <c r="G5" s="3" t="s">
        <v>544</v>
      </c>
      <c r="H5" s="3" t="s">
        <v>8</v>
      </c>
      <c r="I5" s="3" t="s">
        <v>10</v>
      </c>
      <c r="J5" s="3" t="s">
        <v>5</v>
      </c>
      <c r="K5" s="4" t="s">
        <v>545</v>
      </c>
      <c r="L5" s="4" t="s">
        <v>11</v>
      </c>
      <c r="M5" s="4" t="s">
        <v>15</v>
      </c>
      <c r="N5" s="3" t="s">
        <v>16</v>
      </c>
      <c r="O5" s="3" t="s">
        <v>546</v>
      </c>
      <c r="P5" s="3" t="s">
        <v>547</v>
      </c>
      <c r="Q5" s="3" t="s">
        <v>17</v>
      </c>
      <c r="R5" s="3" t="s">
        <v>548</v>
      </c>
      <c r="S5" s="3" t="s">
        <v>549</v>
      </c>
      <c r="T5" s="3" t="s">
        <v>550</v>
      </c>
      <c r="U5" s="3" t="s">
        <v>551</v>
      </c>
      <c r="V5" s="3" t="s">
        <v>552</v>
      </c>
      <c r="W5" s="3" t="s">
        <v>558</v>
      </c>
      <c r="X5" s="3" t="s">
        <v>26</v>
      </c>
      <c r="Y5" s="3" t="s">
        <v>560</v>
      </c>
      <c r="Z5" s="3" t="s">
        <v>31</v>
      </c>
      <c r="AA5" s="3" t="s">
        <v>562</v>
      </c>
      <c r="AB5" s="5" t="s">
        <v>563</v>
      </c>
      <c r="AC5" s="114" t="s">
        <v>564</v>
      </c>
    </row>
    <row r="6" spans="1:29" ht="12" customHeight="1">
      <c r="A6" s="75">
        <v>1</v>
      </c>
      <c r="B6" s="75"/>
      <c r="C6" s="58" t="s">
        <v>828</v>
      </c>
      <c r="D6" s="58" t="s">
        <v>35</v>
      </c>
      <c r="E6" s="58" t="s">
        <v>566</v>
      </c>
      <c r="F6" s="56">
        <v>45698</v>
      </c>
      <c r="G6" s="56" t="s">
        <v>829</v>
      </c>
      <c r="H6" s="58" t="s">
        <v>830</v>
      </c>
      <c r="I6" s="58"/>
      <c r="J6" s="58" t="s">
        <v>58</v>
      </c>
      <c r="K6" s="58"/>
      <c r="L6" s="58" t="s">
        <v>831</v>
      </c>
      <c r="M6" s="58" t="s">
        <v>832</v>
      </c>
      <c r="N6" s="66">
        <v>38426</v>
      </c>
      <c r="O6" s="56" t="s">
        <v>833</v>
      </c>
      <c r="P6" s="56" t="s">
        <v>834</v>
      </c>
      <c r="Q6" s="58" t="s">
        <v>835</v>
      </c>
      <c r="R6" s="61">
        <v>0</v>
      </c>
      <c r="S6" s="61">
        <v>0</v>
      </c>
      <c r="T6" s="61">
        <v>1250</v>
      </c>
      <c r="U6" s="62"/>
      <c r="V6" s="58"/>
      <c r="W6" s="61"/>
      <c r="X6" s="61"/>
      <c r="Y6" s="62">
        <f>SUM(Tabela224[[#This Row],[SALÁRIO ATUAL]]+Tabela224[[#This Row],[AUMENTO ESPONTÂNEO]]+Tabela224[[#This Row],[COMPLEMENTO SALARIAL]])</f>
        <v>1250</v>
      </c>
      <c r="Z6" s="58" t="s">
        <v>836</v>
      </c>
      <c r="AA6" s="58" t="s">
        <v>837</v>
      </c>
      <c r="AB6" s="58" t="s">
        <v>838</v>
      </c>
      <c r="AC6" s="58" t="s">
        <v>75</v>
      </c>
    </row>
    <row r="7" spans="1:29" ht="15" customHeight="1">
      <c r="A7" s="115"/>
      <c r="B7" s="116"/>
      <c r="C7" s="16"/>
      <c r="D7" s="16"/>
      <c r="E7" s="16"/>
      <c r="F7" s="14"/>
      <c r="G7" s="14"/>
      <c r="H7" s="16"/>
      <c r="I7" s="16"/>
      <c r="J7" s="16"/>
      <c r="K7" s="16"/>
      <c r="L7" s="17"/>
      <c r="M7" s="16"/>
      <c r="N7" s="14"/>
      <c r="O7" s="14"/>
      <c r="P7" s="14"/>
      <c r="Q7" s="16"/>
      <c r="R7" s="19"/>
      <c r="S7" s="19"/>
      <c r="T7" s="19"/>
      <c r="U7" s="21"/>
      <c r="V7" s="16"/>
      <c r="W7" s="19"/>
      <c r="X7" s="19"/>
      <c r="Y7" s="21"/>
      <c r="Z7" s="16"/>
      <c r="AA7" s="16"/>
      <c r="AB7" s="16"/>
      <c r="AC7" s="16"/>
    </row>
    <row r="8" spans="1:29" ht="14.45" customHeight="1">
      <c r="A8" s="115"/>
      <c r="B8" s="115"/>
      <c r="C8" s="16"/>
      <c r="D8" s="16"/>
      <c r="E8" s="16"/>
      <c r="F8" s="14"/>
      <c r="G8" s="14"/>
      <c r="H8" s="16"/>
      <c r="I8" s="16"/>
      <c r="J8" s="16"/>
      <c r="K8" s="16"/>
      <c r="L8" s="16"/>
      <c r="M8" s="16"/>
      <c r="N8" s="14"/>
      <c r="O8" s="14"/>
      <c r="P8" s="14"/>
      <c r="Q8" s="16"/>
      <c r="R8" s="19"/>
      <c r="S8" s="19"/>
      <c r="T8" s="19"/>
      <c r="U8" s="21"/>
      <c r="V8" s="16"/>
      <c r="W8" s="19"/>
      <c r="X8" s="19"/>
      <c r="Y8" s="21"/>
      <c r="Z8" s="16"/>
      <c r="AA8" s="16"/>
      <c r="AB8" s="16"/>
      <c r="AC8" s="16"/>
    </row>
    <row r="9" spans="1:29">
      <c r="A9" s="115"/>
      <c r="B9" s="116"/>
      <c r="C9" s="16"/>
      <c r="D9" s="16"/>
      <c r="E9" s="16"/>
      <c r="F9" s="14"/>
      <c r="G9" s="14"/>
      <c r="H9" s="16"/>
      <c r="I9" s="16"/>
      <c r="J9" s="16"/>
      <c r="K9" s="17"/>
      <c r="L9" s="17"/>
      <c r="M9" s="16"/>
      <c r="N9" s="14"/>
      <c r="O9" s="14"/>
      <c r="P9" s="14"/>
      <c r="Q9" s="16"/>
      <c r="R9" s="19"/>
      <c r="S9" s="19"/>
      <c r="T9" s="19"/>
      <c r="U9" s="21"/>
      <c r="V9" s="14"/>
      <c r="W9" s="19"/>
      <c r="X9" s="19"/>
      <c r="Y9" s="21"/>
      <c r="Z9" s="16"/>
      <c r="AA9" s="16"/>
      <c r="AB9" s="16"/>
      <c r="AC9" s="16"/>
    </row>
    <row r="10" spans="1:29">
      <c r="A10" s="115"/>
      <c r="B10" s="115"/>
      <c r="C10" s="16"/>
      <c r="D10" s="16"/>
      <c r="E10" s="16"/>
      <c r="F10" s="14"/>
      <c r="G10" s="14"/>
      <c r="H10" s="16"/>
      <c r="I10" s="16"/>
      <c r="J10" s="16"/>
      <c r="K10" s="17"/>
      <c r="L10" s="17"/>
      <c r="M10" s="16"/>
      <c r="N10" s="14"/>
      <c r="O10" s="14"/>
      <c r="P10" s="14"/>
      <c r="Q10" s="16"/>
      <c r="R10" s="19"/>
      <c r="S10" s="19"/>
      <c r="T10" s="19"/>
      <c r="U10" s="21"/>
      <c r="V10" s="14"/>
      <c r="W10" s="16"/>
      <c r="X10" s="19"/>
      <c r="Y10" s="21"/>
      <c r="Z10" s="27"/>
      <c r="AA10" s="16"/>
      <c r="AB10" s="16"/>
      <c r="AC10" s="16"/>
    </row>
    <row r="11" spans="1:29" s="35" customFormat="1">
      <c r="A11" s="6"/>
      <c r="B11" s="117"/>
      <c r="C11" s="8"/>
      <c r="D11" s="8"/>
      <c r="E11" s="8"/>
      <c r="F11" s="7"/>
      <c r="G11" s="7"/>
      <c r="H11" s="8"/>
      <c r="I11" s="8"/>
      <c r="J11" s="8"/>
      <c r="K11" s="8"/>
      <c r="L11" s="8"/>
      <c r="M11" s="8"/>
      <c r="N11" s="7"/>
      <c r="O11" s="7"/>
      <c r="P11" s="7"/>
      <c r="Q11" s="8"/>
      <c r="R11" s="9"/>
      <c r="S11" s="9"/>
      <c r="T11" s="9"/>
      <c r="U11" s="10"/>
      <c r="V11" s="8"/>
      <c r="W11" s="9"/>
      <c r="X11" s="9"/>
      <c r="Y11" s="10"/>
      <c r="Z11" s="118"/>
      <c r="AA11" s="8"/>
      <c r="AB11" s="8"/>
      <c r="AC11" s="8"/>
    </row>
    <row r="12" spans="1:29">
      <c r="A12" s="115"/>
      <c r="B12" s="116"/>
      <c r="C12" s="16"/>
      <c r="D12" s="16"/>
      <c r="E12" s="16"/>
      <c r="F12" s="14"/>
      <c r="G12" s="14"/>
      <c r="H12" s="16"/>
      <c r="I12" s="16"/>
      <c r="J12" s="16"/>
      <c r="K12" s="17"/>
      <c r="L12" s="17"/>
      <c r="M12" s="16"/>
      <c r="N12" s="14"/>
      <c r="O12" s="33"/>
      <c r="P12" s="14"/>
      <c r="Q12" s="16"/>
      <c r="R12" s="19"/>
      <c r="S12" s="19"/>
      <c r="T12" s="19"/>
      <c r="U12" s="21"/>
      <c r="V12" s="16"/>
      <c r="W12" s="19"/>
      <c r="X12" s="19"/>
      <c r="Y12" s="21"/>
      <c r="Z12" s="27"/>
      <c r="AA12" s="16"/>
      <c r="AB12" s="16"/>
      <c r="AC12" s="16"/>
    </row>
    <row r="13" spans="1:29">
      <c r="A13" s="115"/>
      <c r="B13" s="115"/>
      <c r="C13" s="16"/>
      <c r="D13" s="16"/>
      <c r="E13" s="16"/>
      <c r="F13" s="14"/>
      <c r="G13" s="16"/>
      <c r="H13" s="16"/>
      <c r="I13" s="16"/>
      <c r="J13" s="16"/>
      <c r="K13" s="16"/>
      <c r="L13" s="17"/>
      <c r="M13" s="16"/>
      <c r="N13" s="14"/>
      <c r="O13" s="14"/>
      <c r="P13" s="14"/>
      <c r="Q13" s="16"/>
      <c r="R13" s="19"/>
      <c r="S13" s="19"/>
      <c r="T13" s="19"/>
      <c r="U13" s="21"/>
      <c r="V13" s="16"/>
      <c r="W13" s="19"/>
      <c r="X13" s="19"/>
      <c r="Y13" s="21"/>
      <c r="Z13" s="27"/>
      <c r="AA13" s="16"/>
      <c r="AB13" s="16"/>
      <c r="AC13" s="16"/>
    </row>
    <row r="14" spans="1:29">
      <c r="A14" s="115"/>
      <c r="B14" s="116"/>
      <c r="C14" s="16"/>
      <c r="D14" s="16"/>
      <c r="E14" s="16"/>
      <c r="F14" s="14"/>
      <c r="G14" s="16"/>
      <c r="H14" s="16"/>
      <c r="I14" s="16"/>
      <c r="J14" s="16"/>
      <c r="K14" s="17"/>
      <c r="L14" s="17"/>
      <c r="M14" s="16"/>
      <c r="N14" s="14"/>
      <c r="O14" s="14"/>
      <c r="P14" s="14"/>
      <c r="Q14" s="16"/>
      <c r="R14" s="19"/>
      <c r="S14" s="19"/>
      <c r="T14" s="19"/>
      <c r="U14" s="21"/>
      <c r="V14" s="16"/>
      <c r="W14" s="19"/>
      <c r="X14" s="19"/>
      <c r="Y14" s="21"/>
      <c r="Z14" s="27"/>
      <c r="AA14" s="16"/>
      <c r="AB14" s="16"/>
      <c r="AC14" s="16"/>
    </row>
    <row r="15" spans="1:29">
      <c r="A15" s="115"/>
      <c r="B15" s="115"/>
      <c r="C15" s="16"/>
      <c r="D15" s="16"/>
      <c r="E15" s="16"/>
      <c r="F15" s="14"/>
      <c r="G15" s="16"/>
      <c r="H15" s="16"/>
      <c r="I15" s="16"/>
      <c r="J15" s="16"/>
      <c r="K15" s="17"/>
      <c r="L15" s="17"/>
      <c r="M15" s="16"/>
      <c r="N15" s="14"/>
      <c r="O15" s="14"/>
      <c r="P15" s="14"/>
      <c r="Q15" s="16"/>
      <c r="R15" s="19"/>
      <c r="S15" s="19"/>
      <c r="T15" s="19"/>
      <c r="U15" s="19"/>
      <c r="V15" s="14"/>
      <c r="W15" s="19"/>
      <c r="X15" s="19"/>
      <c r="Y15" s="21"/>
      <c r="Z15" s="27"/>
      <c r="AA15" s="16"/>
      <c r="AB15" s="16"/>
      <c r="AC15" s="16"/>
    </row>
    <row r="16" spans="1:29">
      <c r="A16" s="115"/>
      <c r="B16" s="116"/>
      <c r="C16" s="16"/>
      <c r="D16" s="16"/>
      <c r="E16" s="16"/>
      <c r="F16" s="14"/>
      <c r="G16" s="16"/>
      <c r="H16" s="16"/>
      <c r="I16" s="16"/>
      <c r="J16" s="16"/>
      <c r="K16" s="17"/>
      <c r="L16" s="17"/>
      <c r="M16" s="16"/>
      <c r="N16" s="14"/>
      <c r="O16" s="14"/>
      <c r="P16" s="14"/>
      <c r="Q16" s="16"/>
      <c r="R16" s="19"/>
      <c r="S16" s="19"/>
      <c r="T16" s="19"/>
      <c r="U16" s="21"/>
      <c r="V16" s="14"/>
      <c r="W16" s="19"/>
      <c r="X16" s="19"/>
      <c r="Y16" s="21"/>
      <c r="Z16" s="27"/>
      <c r="AA16" s="16"/>
      <c r="AB16" s="16"/>
      <c r="AC16" s="16"/>
    </row>
    <row r="17" spans="1:29" s="35" customFormat="1">
      <c r="A17" s="6"/>
      <c r="B17" s="6"/>
      <c r="C17" s="8"/>
      <c r="D17" s="8"/>
      <c r="E17" s="8"/>
      <c r="F17" s="7"/>
      <c r="G17" s="8"/>
      <c r="H17" s="8"/>
      <c r="I17" s="8"/>
      <c r="J17" s="8"/>
      <c r="K17" s="17"/>
      <c r="L17" s="17"/>
      <c r="M17" s="8"/>
      <c r="N17" s="7"/>
      <c r="O17" s="7"/>
      <c r="P17" s="7"/>
      <c r="Q17" s="8"/>
      <c r="R17" s="9"/>
      <c r="S17" s="9"/>
      <c r="T17" s="9"/>
      <c r="U17" s="10"/>
      <c r="V17" s="8"/>
      <c r="W17" s="9"/>
      <c r="X17" s="9"/>
      <c r="Y17" s="10"/>
      <c r="Z17" s="118"/>
      <c r="AA17" s="8"/>
      <c r="AB17" s="8"/>
      <c r="AC17" s="8"/>
    </row>
    <row r="18" spans="1:29">
      <c r="A18" s="115"/>
      <c r="B18" s="116"/>
      <c r="C18" s="16"/>
      <c r="D18" s="16"/>
      <c r="E18" s="16"/>
      <c r="F18" s="14"/>
      <c r="G18" s="16"/>
      <c r="H18" s="16"/>
      <c r="I18" s="16"/>
      <c r="J18" s="16"/>
      <c r="K18" s="17"/>
      <c r="L18" s="17"/>
      <c r="M18" s="16"/>
      <c r="N18" s="14"/>
      <c r="O18" s="14"/>
      <c r="P18" s="14"/>
      <c r="Q18" s="16"/>
      <c r="R18" s="19"/>
      <c r="S18" s="19"/>
      <c r="T18" s="19"/>
      <c r="U18" s="21"/>
      <c r="V18" s="16"/>
      <c r="W18" s="19"/>
      <c r="X18" s="19"/>
      <c r="Y18" s="21"/>
      <c r="Z18" s="16"/>
      <c r="AA18" s="16"/>
      <c r="AB18" s="16"/>
      <c r="AC18" s="16"/>
    </row>
    <row r="19" spans="1:29">
      <c r="A19" s="115"/>
      <c r="B19" s="115"/>
      <c r="C19" s="16"/>
      <c r="D19" s="16"/>
      <c r="E19" s="16"/>
      <c r="F19" s="14"/>
      <c r="G19" s="16"/>
      <c r="H19" s="16"/>
      <c r="I19" s="16"/>
      <c r="J19" s="16"/>
      <c r="K19" s="17"/>
      <c r="L19" s="17"/>
      <c r="M19" s="16"/>
      <c r="N19" s="14"/>
      <c r="O19" s="14"/>
      <c r="P19" s="14"/>
      <c r="Q19" s="16"/>
      <c r="R19" s="19"/>
      <c r="S19" s="19"/>
      <c r="T19" s="19"/>
      <c r="U19" s="21"/>
      <c r="V19" s="14"/>
      <c r="W19" s="19"/>
      <c r="X19" s="19"/>
      <c r="Y19" s="21"/>
      <c r="Z19" s="16"/>
      <c r="AA19" s="16"/>
      <c r="AB19" s="16"/>
      <c r="AC19" s="16"/>
    </row>
    <row r="20" spans="1:29">
      <c r="A20" s="115"/>
      <c r="B20" s="116"/>
      <c r="C20" s="16"/>
      <c r="D20" s="16"/>
      <c r="E20" s="16"/>
      <c r="F20" s="14"/>
      <c r="G20" s="16"/>
      <c r="H20" s="16"/>
      <c r="I20" s="16"/>
      <c r="J20" s="16"/>
      <c r="K20" s="17"/>
      <c r="L20" s="17"/>
      <c r="M20" s="16"/>
      <c r="N20" s="14"/>
      <c r="O20" s="14"/>
      <c r="P20" s="14"/>
      <c r="Q20" s="16"/>
      <c r="R20" s="19"/>
      <c r="S20" s="19"/>
      <c r="T20" s="19"/>
      <c r="U20" s="19"/>
      <c r="V20" s="20"/>
      <c r="W20" s="19"/>
      <c r="X20" s="19"/>
      <c r="Y20" s="21"/>
      <c r="Z20" s="16"/>
      <c r="AA20" s="16"/>
      <c r="AB20" s="16"/>
      <c r="AC20" s="16"/>
    </row>
    <row r="21" spans="1:29">
      <c r="A21" s="115"/>
      <c r="B21" s="116"/>
      <c r="C21" s="16"/>
      <c r="D21" s="16"/>
      <c r="E21" s="16"/>
      <c r="F21" s="14"/>
      <c r="G21" s="16"/>
      <c r="H21" s="16"/>
      <c r="I21" s="16"/>
      <c r="J21" s="16"/>
      <c r="K21" s="17"/>
      <c r="L21" s="17"/>
      <c r="M21" s="16"/>
      <c r="N21" s="14"/>
      <c r="O21" s="14"/>
      <c r="P21" s="14"/>
      <c r="Q21" s="16"/>
      <c r="R21" s="19"/>
      <c r="S21" s="19"/>
      <c r="T21" s="19"/>
      <c r="U21" s="21"/>
      <c r="V21" s="16"/>
      <c r="W21" s="19"/>
      <c r="X21" s="19"/>
      <c r="Y21" s="21"/>
      <c r="Z21" s="16"/>
      <c r="AA21" s="16"/>
      <c r="AB21" s="16"/>
      <c r="AC21" s="16"/>
    </row>
    <row r="22" spans="1:29">
      <c r="A22" s="115"/>
      <c r="B22" s="115"/>
      <c r="C22" s="16"/>
      <c r="D22" s="16"/>
      <c r="E22" s="16"/>
      <c r="F22" s="14"/>
      <c r="G22" s="16"/>
      <c r="H22" s="16"/>
      <c r="I22" s="16"/>
      <c r="J22" s="16"/>
      <c r="K22" s="17"/>
      <c r="L22" s="17"/>
      <c r="M22" s="16"/>
      <c r="N22" s="14"/>
      <c r="O22" s="14"/>
      <c r="P22" s="14"/>
      <c r="Q22" s="16"/>
      <c r="R22" s="19"/>
      <c r="S22" s="19"/>
      <c r="T22" s="19"/>
      <c r="U22" s="21"/>
      <c r="V22" s="14"/>
      <c r="W22" s="19"/>
      <c r="X22" s="19"/>
      <c r="Y22" s="21"/>
      <c r="Z22" s="16"/>
      <c r="AA22" s="16"/>
      <c r="AB22" s="16"/>
      <c r="AC22" s="16"/>
    </row>
    <row r="23" spans="1:29">
      <c r="A23" s="115"/>
      <c r="B23" s="116"/>
      <c r="C23" s="16"/>
      <c r="D23" s="16"/>
      <c r="E23" s="16"/>
      <c r="F23" s="14"/>
      <c r="G23" s="16"/>
      <c r="H23" s="16"/>
      <c r="I23" s="16"/>
      <c r="J23" s="16"/>
      <c r="K23" s="16"/>
      <c r="L23" s="16"/>
      <c r="M23" s="16"/>
      <c r="N23" s="14"/>
      <c r="O23" s="14"/>
      <c r="P23" s="14"/>
      <c r="Q23" s="16"/>
      <c r="R23" s="19"/>
      <c r="S23" s="19"/>
      <c r="T23" s="19"/>
      <c r="U23" s="21"/>
      <c r="V23" s="16"/>
      <c r="W23" s="19"/>
      <c r="X23" s="19"/>
      <c r="Y23" s="21"/>
      <c r="Z23" s="16"/>
      <c r="AA23" s="16"/>
      <c r="AB23" s="16"/>
      <c r="AC23" s="16"/>
    </row>
    <row r="24" spans="1:29">
      <c r="A24" s="115"/>
      <c r="B24" s="119"/>
      <c r="C24" s="16"/>
      <c r="D24" s="16"/>
      <c r="E24" s="16"/>
      <c r="F24" s="14"/>
      <c r="G24" s="16"/>
      <c r="H24" s="16"/>
      <c r="I24" s="16"/>
      <c r="J24" s="16"/>
      <c r="K24" s="16"/>
      <c r="L24" s="16"/>
      <c r="M24" s="16"/>
      <c r="N24" s="14"/>
      <c r="O24" s="14"/>
      <c r="P24" s="14"/>
      <c r="Q24" s="16"/>
      <c r="R24" s="19"/>
      <c r="S24" s="19"/>
      <c r="T24" s="19"/>
      <c r="U24" s="21"/>
      <c r="V24" s="16"/>
      <c r="W24" s="19"/>
      <c r="X24" s="19"/>
      <c r="Y24" s="21"/>
      <c r="Z24" s="16"/>
      <c r="AA24" s="16"/>
      <c r="AB24" s="16"/>
      <c r="AC24" s="16"/>
    </row>
    <row r="25" spans="1:29" ht="15.95" customHeight="1">
      <c r="A25" s="115"/>
      <c r="B25" s="120"/>
      <c r="C25" s="16"/>
      <c r="D25" s="16"/>
      <c r="E25" s="16"/>
      <c r="F25" s="14"/>
      <c r="G25" s="16"/>
      <c r="H25" s="16"/>
      <c r="I25" s="16"/>
      <c r="J25" s="16"/>
      <c r="K25" s="16"/>
      <c r="L25" s="121"/>
      <c r="M25" s="12"/>
      <c r="N25" s="14"/>
      <c r="O25" s="14"/>
      <c r="P25" s="14"/>
      <c r="Q25" s="16"/>
      <c r="R25" s="19"/>
      <c r="S25" s="19"/>
      <c r="T25" s="19"/>
      <c r="U25" s="21"/>
      <c r="V25" s="16"/>
      <c r="W25" s="19"/>
      <c r="X25" s="19"/>
      <c r="Y25" s="21"/>
      <c r="Z25" s="16"/>
      <c r="AA25" s="16"/>
      <c r="AB25" s="16"/>
      <c r="AC25" s="16"/>
    </row>
    <row r="26" spans="1:29">
      <c r="A26" s="115"/>
      <c r="B26" s="119"/>
      <c r="C26" s="16"/>
      <c r="D26" s="16"/>
      <c r="E26" s="16"/>
      <c r="F26" s="14"/>
      <c r="G26" s="16"/>
      <c r="H26" s="16"/>
      <c r="I26" s="16"/>
      <c r="J26" s="16"/>
      <c r="K26" s="122"/>
      <c r="L26" s="28"/>
      <c r="M26" s="123"/>
      <c r="N26" s="124"/>
      <c r="O26" s="124"/>
      <c r="P26" s="124"/>
      <c r="Q26" s="123"/>
      <c r="R26" s="19"/>
      <c r="S26" s="19"/>
      <c r="T26" s="19"/>
      <c r="U26" s="21"/>
      <c r="V26" s="16"/>
      <c r="W26" s="19"/>
      <c r="X26" s="19"/>
      <c r="Y26" s="21"/>
      <c r="Z26" s="16"/>
      <c r="AA26" s="16"/>
      <c r="AB26" s="16"/>
      <c r="AC26" s="16"/>
    </row>
    <row r="27" spans="1:29">
      <c r="A27" s="116"/>
      <c r="B27" s="120"/>
      <c r="C27" s="16"/>
      <c r="D27" s="16"/>
      <c r="E27" s="16"/>
      <c r="F27" s="14"/>
      <c r="G27" s="16"/>
      <c r="H27" s="16"/>
      <c r="I27" s="16"/>
      <c r="J27" s="16"/>
      <c r="K27" s="28"/>
      <c r="L27" s="28"/>
      <c r="M27" s="27"/>
      <c r="N27" s="33"/>
      <c r="O27" s="27"/>
      <c r="P27" s="27"/>
      <c r="Q27" s="27"/>
      <c r="R27" s="19"/>
      <c r="S27" s="19"/>
      <c r="T27" s="19"/>
      <c r="U27" s="21"/>
      <c r="V27" s="16"/>
      <c r="W27" s="19"/>
      <c r="X27" s="19"/>
      <c r="Y27" s="21"/>
      <c r="Z27" s="16"/>
      <c r="AA27" s="16"/>
      <c r="AB27" s="16"/>
      <c r="AC27" s="16"/>
    </row>
    <row r="28" spans="1:29">
      <c r="A28" s="115"/>
      <c r="B28" s="119"/>
      <c r="C28" s="16"/>
      <c r="D28" s="16"/>
      <c r="E28" s="16"/>
      <c r="F28" s="14"/>
      <c r="G28" s="16"/>
      <c r="H28" s="16"/>
      <c r="I28" s="16"/>
      <c r="J28" s="16"/>
      <c r="K28" s="125"/>
      <c r="L28" s="126"/>
      <c r="M28" s="126"/>
      <c r="N28" s="127"/>
      <c r="O28" s="126"/>
      <c r="P28" s="128"/>
      <c r="Q28" s="26"/>
      <c r="R28" s="19"/>
      <c r="S28" s="19"/>
      <c r="T28" s="19"/>
      <c r="U28" s="21"/>
      <c r="V28" s="16"/>
      <c r="W28" s="19"/>
      <c r="X28" s="19"/>
      <c r="Y28" s="21"/>
      <c r="Z28" s="16"/>
      <c r="AA28" s="16"/>
      <c r="AB28" s="16"/>
      <c r="AC28" s="16"/>
    </row>
    <row r="29" spans="1:29">
      <c r="A29" s="120"/>
      <c r="B29" s="1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9"/>
      <c r="S29" s="19"/>
      <c r="T29" s="19"/>
      <c r="U29" s="21"/>
      <c r="V29" s="16"/>
      <c r="W29" s="19"/>
      <c r="X29" s="19"/>
      <c r="Y29" s="21"/>
      <c r="Z29" s="16"/>
      <c r="AA29" s="16"/>
      <c r="AB29" s="16"/>
      <c r="AC29" s="16"/>
    </row>
    <row r="30" spans="1:29">
      <c r="A30" s="119"/>
      <c r="B30" s="11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9"/>
      <c r="S30" s="19"/>
      <c r="T30" s="19"/>
      <c r="U30" s="21"/>
      <c r="V30" s="16"/>
      <c r="W30" s="19"/>
      <c r="X30" s="19"/>
      <c r="Y30" s="21"/>
      <c r="Z30" s="16"/>
      <c r="AA30" s="16"/>
      <c r="AB30" s="16"/>
      <c r="AC30" s="16"/>
    </row>
    <row r="31" spans="1:29">
      <c r="A31" s="120"/>
      <c r="B31" s="120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9"/>
      <c r="S31" s="19"/>
      <c r="T31" s="19"/>
      <c r="U31" s="21"/>
      <c r="V31" s="16"/>
      <c r="W31" s="19"/>
      <c r="X31" s="19"/>
      <c r="Y31" s="21"/>
      <c r="Z31" s="16"/>
      <c r="AA31" s="16"/>
      <c r="AB31" s="16"/>
      <c r="AC31" s="16"/>
    </row>
    <row r="32" spans="1:29">
      <c r="A32" s="119"/>
      <c r="B32" s="11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9"/>
      <c r="S32" s="19"/>
      <c r="T32" s="19"/>
      <c r="U32" s="21"/>
      <c r="V32" s="16"/>
      <c r="W32" s="19"/>
      <c r="X32" s="19"/>
      <c r="Y32" s="21"/>
      <c r="Z32" s="16"/>
      <c r="AA32" s="16"/>
      <c r="AB32" s="16"/>
      <c r="AC32" s="16"/>
    </row>
    <row r="33" spans="1:29">
      <c r="A33" s="120"/>
      <c r="B33" s="120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9"/>
      <c r="S33" s="19"/>
      <c r="T33" s="19"/>
      <c r="U33" s="21"/>
      <c r="V33" s="16"/>
      <c r="W33" s="19"/>
      <c r="X33" s="19"/>
      <c r="Y33" s="21"/>
      <c r="Z33" s="16"/>
      <c r="AA33" s="16"/>
      <c r="AB33" s="16"/>
      <c r="AC33" s="16"/>
    </row>
    <row r="34" spans="1:29">
      <c r="A34" s="119"/>
      <c r="B34" s="11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9"/>
      <c r="S34" s="19"/>
      <c r="T34" s="19"/>
      <c r="U34" s="21"/>
      <c r="V34" s="16"/>
      <c r="W34" s="19"/>
      <c r="X34" s="19"/>
      <c r="Y34" s="21"/>
      <c r="Z34" s="16"/>
      <c r="AA34" s="16"/>
      <c r="AB34" s="16"/>
      <c r="AC34" s="16"/>
    </row>
    <row r="35" spans="1:29">
      <c r="A35" s="120"/>
      <c r="B35" s="1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9"/>
      <c r="S35" s="19"/>
      <c r="T35" s="19"/>
      <c r="U35" s="21"/>
      <c r="V35" s="16"/>
      <c r="W35" s="19"/>
      <c r="X35" s="19"/>
      <c r="Y35" s="21"/>
      <c r="Z35" s="16"/>
      <c r="AA35" s="16"/>
      <c r="AB35" s="16"/>
      <c r="AC35" s="16"/>
    </row>
    <row r="36" spans="1:29">
      <c r="A36" s="119"/>
      <c r="B36" s="119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9"/>
      <c r="S36" s="19"/>
      <c r="T36" s="19"/>
      <c r="U36" s="21"/>
      <c r="V36" s="16"/>
      <c r="W36" s="19"/>
      <c r="X36" s="19"/>
      <c r="Y36" s="21"/>
      <c r="Z36" s="16"/>
      <c r="AA36" s="16"/>
      <c r="AB36" s="16"/>
      <c r="AC36" s="16"/>
    </row>
    <row r="37" spans="1:29">
      <c r="A37" s="120"/>
      <c r="B37" s="120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9"/>
      <c r="S37" s="19"/>
      <c r="T37" s="19"/>
      <c r="U37" s="21"/>
      <c r="V37" s="16"/>
      <c r="W37" s="19"/>
      <c r="X37" s="19"/>
      <c r="Y37" s="21"/>
      <c r="Z37" s="16"/>
      <c r="AA37" s="16"/>
      <c r="AB37" s="16"/>
      <c r="AC37" s="16"/>
    </row>
    <row r="38" spans="1:29">
      <c r="A38" s="119"/>
      <c r="B38" s="119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9"/>
      <c r="S38" s="19"/>
      <c r="T38" s="19"/>
      <c r="U38" s="21"/>
      <c r="V38" s="16"/>
      <c r="W38" s="19"/>
      <c r="X38" s="19"/>
      <c r="Y38" s="21"/>
      <c r="Z38" s="16"/>
      <c r="AA38" s="16"/>
      <c r="AB38" s="16"/>
      <c r="AC38" s="16"/>
    </row>
    <row r="39" spans="1:29">
      <c r="A39" s="120"/>
      <c r="B39" s="120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9"/>
      <c r="S39" s="19"/>
      <c r="T39" s="19"/>
      <c r="U39" s="21"/>
      <c r="V39" s="16"/>
      <c r="W39" s="19"/>
      <c r="X39" s="19"/>
      <c r="Y39" s="21"/>
      <c r="Z39" s="16"/>
      <c r="AA39" s="16"/>
      <c r="AB39" s="16"/>
      <c r="AC39" s="16"/>
    </row>
    <row r="40" spans="1:29">
      <c r="A40" s="119"/>
      <c r="B40" s="119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9"/>
      <c r="S40" s="19"/>
      <c r="T40" s="19"/>
      <c r="U40" s="21"/>
      <c r="V40" s="16"/>
      <c r="W40" s="19"/>
      <c r="X40" s="19"/>
      <c r="Y40" s="21"/>
      <c r="Z40" s="16"/>
      <c r="AA40" s="16"/>
      <c r="AB40" s="16"/>
      <c r="AC40" s="16"/>
    </row>
    <row r="41" spans="1:29">
      <c r="A41" s="120"/>
      <c r="B41" s="120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9"/>
      <c r="S41" s="19"/>
      <c r="T41" s="19"/>
      <c r="U41" s="21"/>
      <c r="V41" s="16"/>
      <c r="W41" s="19"/>
      <c r="X41" s="19"/>
      <c r="Y41" s="21"/>
      <c r="Z41" s="16"/>
      <c r="AA41" s="16"/>
      <c r="AB41" s="16"/>
      <c r="AC41" s="16"/>
    </row>
    <row r="42" spans="1:29">
      <c r="A42" s="119"/>
      <c r="B42" s="119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9"/>
      <c r="S42" s="19"/>
      <c r="T42" s="19"/>
      <c r="U42" s="21"/>
      <c r="V42" s="16"/>
      <c r="W42" s="19"/>
      <c r="X42" s="19"/>
      <c r="Y42" s="21"/>
      <c r="Z42" s="16"/>
      <c r="AA42" s="16"/>
      <c r="AB42" s="16"/>
      <c r="AC42" s="16"/>
    </row>
    <row r="43" spans="1:29">
      <c r="A43" s="120"/>
      <c r="B43" s="120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9"/>
      <c r="S43" s="19"/>
      <c r="T43" s="19"/>
      <c r="U43" s="21"/>
      <c r="V43" s="16"/>
      <c r="W43" s="19"/>
      <c r="X43" s="19"/>
      <c r="Y43" s="21"/>
      <c r="Z43" s="16"/>
      <c r="AA43" s="16"/>
      <c r="AB43" s="16"/>
      <c r="AC43" s="16"/>
    </row>
    <row r="44" spans="1:29">
      <c r="A44" s="119"/>
      <c r="B44" s="11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9"/>
      <c r="S44" s="19"/>
      <c r="T44" s="19"/>
      <c r="U44" s="21"/>
      <c r="V44" s="16"/>
      <c r="W44" s="19"/>
      <c r="X44" s="19"/>
      <c r="Y44" s="21"/>
      <c r="Z44" s="16"/>
      <c r="AA44" s="16"/>
      <c r="AB44" s="16"/>
      <c r="AC44" s="16"/>
    </row>
    <row r="45" spans="1:29">
      <c r="A45" s="120"/>
      <c r="B45" s="120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9"/>
      <c r="S45" s="19"/>
      <c r="T45" s="19"/>
      <c r="U45" s="21"/>
      <c r="V45" s="16"/>
      <c r="W45" s="19"/>
      <c r="X45" s="19"/>
      <c r="Y45" s="21"/>
      <c r="Z45" s="16"/>
      <c r="AA45" s="16"/>
      <c r="AB45" s="16"/>
      <c r="AC45" s="16"/>
    </row>
    <row r="46" spans="1:29">
      <c r="A46" s="119"/>
      <c r="B46" s="119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9"/>
      <c r="S46" s="19"/>
      <c r="T46" s="19"/>
      <c r="U46" s="21"/>
      <c r="V46" s="16"/>
      <c r="W46" s="19"/>
      <c r="X46" s="19"/>
      <c r="Y46" s="21"/>
      <c r="Z46" s="16"/>
      <c r="AA46" s="16"/>
      <c r="AB46" s="16"/>
      <c r="AC46" s="16"/>
    </row>
    <row r="47" spans="1:29">
      <c r="A47" s="120"/>
      <c r="B47" s="120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9"/>
      <c r="S47" s="19"/>
      <c r="T47" s="19"/>
      <c r="U47" s="21"/>
      <c r="V47" s="16"/>
      <c r="W47" s="19"/>
      <c r="X47" s="19"/>
      <c r="Y47" s="21"/>
      <c r="Z47" s="16"/>
      <c r="AA47" s="16"/>
      <c r="AB47" s="16"/>
      <c r="AC47" s="16"/>
    </row>
    <row r="48" spans="1:29">
      <c r="A48" s="119"/>
      <c r="B48" s="119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9"/>
      <c r="S48" s="19"/>
      <c r="T48" s="16"/>
      <c r="U48" s="21"/>
      <c r="V48" s="16"/>
      <c r="W48" s="19"/>
      <c r="X48" s="19"/>
      <c r="Y48" s="21"/>
      <c r="Z48" s="16"/>
      <c r="AA48" s="16"/>
      <c r="AB48" s="16"/>
      <c r="AC48" s="16"/>
    </row>
    <row r="49" spans="1:29">
      <c r="A49" s="120"/>
      <c r="B49" s="120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9"/>
      <c r="S49" s="19"/>
      <c r="T49" s="16"/>
      <c r="U49" s="21"/>
      <c r="V49" s="16"/>
      <c r="W49" s="19"/>
      <c r="X49" s="19"/>
      <c r="Y49" s="21"/>
      <c r="Z49" s="16"/>
      <c r="AA49" s="16"/>
      <c r="AB49" s="16"/>
      <c r="AC49" s="16"/>
    </row>
    <row r="50" spans="1:29">
      <c r="A50" s="119"/>
      <c r="B50" s="11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9"/>
      <c r="S50" s="19"/>
      <c r="T50" s="16"/>
      <c r="U50" s="21"/>
      <c r="V50" s="16"/>
      <c r="W50" s="19"/>
      <c r="X50" s="19"/>
      <c r="Y50" s="21"/>
      <c r="Z50" s="16"/>
      <c r="AA50" s="16"/>
      <c r="AB50" s="16"/>
      <c r="AC50" s="16"/>
    </row>
    <row r="51" spans="1:29">
      <c r="A51" s="120"/>
      <c r="B51" s="12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9"/>
      <c r="S51" s="19"/>
      <c r="T51" s="16"/>
      <c r="U51" s="21"/>
      <c r="V51" s="16"/>
      <c r="W51" s="19"/>
      <c r="X51" s="19"/>
      <c r="Y51" s="21"/>
      <c r="Z51" s="16"/>
      <c r="AA51" s="16"/>
      <c r="AB51" s="16"/>
      <c r="AC51" s="16"/>
    </row>
    <row r="52" spans="1:29">
      <c r="A52" s="119"/>
      <c r="B52" s="119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9"/>
      <c r="S52" s="19"/>
      <c r="T52" s="16"/>
      <c r="U52" s="21"/>
      <c r="V52" s="16"/>
      <c r="W52" s="19"/>
      <c r="X52" s="19"/>
      <c r="Y52" s="21"/>
      <c r="Z52" s="16"/>
      <c r="AA52" s="16"/>
      <c r="AB52" s="16"/>
      <c r="AC52" s="16"/>
    </row>
    <row r="53" spans="1:29">
      <c r="A53" s="120"/>
      <c r="B53" s="120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9"/>
      <c r="S53" s="19"/>
      <c r="T53" s="16"/>
      <c r="U53" s="21"/>
      <c r="V53" s="16"/>
      <c r="W53" s="19"/>
      <c r="X53" s="19"/>
      <c r="Y53" s="21"/>
      <c r="Z53" s="16"/>
      <c r="AA53" s="16"/>
      <c r="AB53" s="16"/>
      <c r="AC53" s="16"/>
    </row>
    <row r="54" spans="1:29">
      <c r="A54" s="119"/>
      <c r="B54" s="119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9"/>
      <c r="S54" s="19"/>
      <c r="T54" s="16"/>
      <c r="U54" s="21"/>
      <c r="V54" s="16"/>
      <c r="W54" s="19"/>
      <c r="X54" s="19"/>
      <c r="Y54" s="21"/>
      <c r="Z54" s="16"/>
      <c r="AA54" s="16"/>
      <c r="AB54" s="16"/>
      <c r="AC54" s="16"/>
    </row>
    <row r="55" spans="1:29">
      <c r="A55" s="120"/>
      <c r="B55" s="120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9"/>
      <c r="S55" s="19"/>
      <c r="T55" s="16"/>
      <c r="U55" s="21"/>
      <c r="V55" s="16"/>
      <c r="W55" s="19"/>
      <c r="X55" s="19"/>
      <c r="Y55" s="21"/>
      <c r="Z55" s="16"/>
      <c r="AA55" s="16"/>
      <c r="AB55" s="16"/>
      <c r="AC55" s="16"/>
    </row>
    <row r="56" spans="1:29">
      <c r="A56" s="119"/>
      <c r="B56" s="119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9"/>
      <c r="S56" s="19"/>
      <c r="T56" s="16"/>
      <c r="U56" s="21"/>
      <c r="V56" s="16"/>
      <c r="W56" s="19"/>
      <c r="X56" s="19"/>
      <c r="Y56" s="21"/>
      <c r="Z56" s="16"/>
      <c r="AA56" s="16"/>
      <c r="AB56" s="16"/>
      <c r="AC56" s="16"/>
    </row>
    <row r="57" spans="1:29">
      <c r="A57" s="120"/>
      <c r="B57" s="120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9"/>
      <c r="S57" s="19"/>
      <c r="T57" s="16"/>
      <c r="U57" s="21"/>
      <c r="V57" s="16"/>
      <c r="W57" s="19"/>
      <c r="X57" s="19"/>
      <c r="Y57" s="21"/>
      <c r="Z57" s="16"/>
      <c r="AA57" s="16"/>
      <c r="AB57" s="16"/>
      <c r="AC57" s="16"/>
    </row>
    <row r="58" spans="1:29">
      <c r="A58" s="119"/>
      <c r="B58" s="119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9"/>
      <c r="S58" s="19"/>
      <c r="T58" s="16"/>
      <c r="U58" s="21"/>
      <c r="V58" s="16"/>
      <c r="W58" s="19"/>
      <c r="X58" s="19"/>
      <c r="Y58" s="21"/>
      <c r="Z58" s="16"/>
      <c r="AA58" s="16"/>
      <c r="AB58" s="16"/>
      <c r="AC58" s="16"/>
    </row>
    <row r="59" spans="1:29">
      <c r="A59" s="120"/>
      <c r="B59" s="12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9"/>
      <c r="S59" s="19"/>
      <c r="T59" s="16"/>
      <c r="U59" s="21"/>
      <c r="V59" s="16"/>
      <c r="W59" s="16"/>
      <c r="X59" s="16"/>
      <c r="Y59" s="21"/>
      <c r="Z59" s="16"/>
      <c r="AA59" s="16"/>
      <c r="AB59" s="16"/>
      <c r="AC59" s="16"/>
    </row>
    <row r="60" spans="1:29">
      <c r="A60" s="119"/>
      <c r="B60" s="119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9"/>
      <c r="S60" s="19"/>
      <c r="T60" s="16"/>
      <c r="U60" s="21"/>
      <c r="V60" s="16"/>
      <c r="W60" s="16"/>
      <c r="X60" s="16"/>
      <c r="Y60" s="21"/>
      <c r="Z60" s="16"/>
      <c r="AA60" s="16"/>
      <c r="AB60" s="16"/>
      <c r="AC60" s="16"/>
    </row>
    <row r="61" spans="1:29">
      <c r="A61" s="120"/>
      <c r="B61" s="120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9"/>
      <c r="S61" s="19"/>
      <c r="T61" s="16"/>
      <c r="U61" s="21"/>
      <c r="V61" s="16"/>
      <c r="W61" s="16"/>
      <c r="X61" s="16"/>
      <c r="Y61" s="21"/>
      <c r="Z61" s="16"/>
      <c r="AA61" s="16"/>
      <c r="AB61" s="16"/>
      <c r="AC61" s="16"/>
    </row>
    <row r="62" spans="1:29">
      <c r="A62" s="119"/>
      <c r="B62" s="119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9"/>
      <c r="S62" s="19"/>
      <c r="T62" s="16"/>
      <c r="U62" s="21"/>
      <c r="V62" s="16"/>
      <c r="W62" s="16"/>
      <c r="X62" s="16"/>
      <c r="Y62" s="21"/>
      <c r="Z62" s="16"/>
      <c r="AA62" s="16"/>
      <c r="AB62" s="16"/>
      <c r="AC62" s="16"/>
    </row>
    <row r="63" spans="1:29">
      <c r="A63" s="120"/>
      <c r="B63" s="120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9"/>
      <c r="S63" s="19"/>
      <c r="T63" s="16"/>
      <c r="U63" s="21"/>
      <c r="V63" s="16"/>
      <c r="W63" s="16"/>
      <c r="X63" s="16"/>
      <c r="Y63" s="21"/>
      <c r="Z63" s="16"/>
      <c r="AA63" s="16"/>
      <c r="AB63" s="16"/>
      <c r="AC63" s="16"/>
    </row>
    <row r="64" spans="1:29">
      <c r="A64" s="119"/>
      <c r="B64" s="119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9"/>
      <c r="S64" s="19"/>
      <c r="T64" s="16"/>
      <c r="U64" s="21"/>
      <c r="V64" s="16"/>
      <c r="W64" s="16"/>
      <c r="X64" s="16"/>
      <c r="Y64" s="21"/>
      <c r="Z64" s="16"/>
      <c r="AA64" s="16"/>
      <c r="AB64" s="16"/>
      <c r="AC64" s="16"/>
    </row>
    <row r="65" spans="1:29">
      <c r="A65" s="120"/>
      <c r="B65" s="120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9"/>
      <c r="S65" s="19"/>
      <c r="T65" s="16"/>
      <c r="U65" s="21"/>
      <c r="V65" s="16"/>
      <c r="W65" s="16"/>
      <c r="X65" s="16"/>
      <c r="Y65" s="21"/>
      <c r="Z65" s="16"/>
      <c r="AA65" s="16"/>
      <c r="AB65" s="16"/>
      <c r="AC65" s="16"/>
    </row>
    <row r="66" spans="1:29">
      <c r="A66" s="119"/>
      <c r="B66" s="119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9"/>
      <c r="S66" s="19"/>
      <c r="T66" s="16"/>
      <c r="U66" s="21"/>
      <c r="V66" s="16"/>
      <c r="W66" s="16"/>
      <c r="X66" s="16"/>
      <c r="Y66" s="21"/>
      <c r="Z66" s="16"/>
      <c r="AA66" s="16"/>
      <c r="AB66" s="16"/>
      <c r="AC66" s="16"/>
    </row>
    <row r="67" spans="1:29">
      <c r="A67" s="120"/>
      <c r="B67" s="120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9"/>
      <c r="S67" s="19"/>
      <c r="T67" s="16"/>
      <c r="U67" s="21"/>
      <c r="V67" s="16"/>
      <c r="W67" s="16"/>
      <c r="X67" s="16"/>
      <c r="Y67" s="21"/>
      <c r="Z67" s="16"/>
      <c r="AA67" s="16"/>
      <c r="AB67" s="16"/>
      <c r="AC67" s="16"/>
    </row>
    <row r="68" spans="1:29">
      <c r="A68" s="119"/>
      <c r="B68" s="11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9"/>
      <c r="S68" s="19"/>
      <c r="T68" s="16"/>
      <c r="U68" s="21"/>
      <c r="V68" s="16"/>
      <c r="W68" s="16"/>
      <c r="X68" s="16"/>
      <c r="Y68" s="21"/>
      <c r="Z68" s="16"/>
      <c r="AA68" s="16"/>
      <c r="AB68" s="16"/>
      <c r="AC68" s="16"/>
    </row>
    <row r="69" spans="1:29">
      <c r="A69" s="120"/>
      <c r="B69" s="120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9"/>
      <c r="S69" s="19"/>
      <c r="T69" s="16"/>
      <c r="U69" s="21"/>
      <c r="V69" s="16"/>
      <c r="W69" s="16"/>
      <c r="X69" s="16"/>
      <c r="Y69" s="21"/>
      <c r="Z69" s="16"/>
      <c r="AA69" s="16"/>
      <c r="AB69" s="16"/>
      <c r="AC69" s="16"/>
    </row>
    <row r="70" spans="1:29">
      <c r="A70" s="119"/>
      <c r="B70" s="119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9"/>
      <c r="S70" s="19"/>
      <c r="T70" s="16"/>
      <c r="U70" s="21"/>
      <c r="V70" s="16"/>
      <c r="W70" s="16"/>
      <c r="X70" s="16"/>
      <c r="Y70" s="21"/>
      <c r="Z70" s="16"/>
      <c r="AA70" s="16"/>
      <c r="AB70" s="16"/>
      <c r="AC70" s="16"/>
    </row>
    <row r="71" spans="1:29">
      <c r="A71" s="120"/>
      <c r="B71" s="120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9"/>
      <c r="S71" s="19"/>
      <c r="T71" s="16"/>
      <c r="U71" s="21"/>
      <c r="V71" s="16"/>
      <c r="W71" s="16"/>
      <c r="X71" s="16"/>
      <c r="Y71" s="21"/>
      <c r="Z71" s="16"/>
      <c r="AA71" s="16"/>
      <c r="AB71" s="16"/>
      <c r="AC71" s="16"/>
    </row>
    <row r="72" spans="1:29">
      <c r="A72" s="119"/>
      <c r="B72" s="119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9"/>
      <c r="S72" s="19"/>
      <c r="T72" s="16"/>
      <c r="U72" s="21"/>
      <c r="V72" s="16"/>
      <c r="W72" s="16"/>
      <c r="X72" s="16"/>
      <c r="Y72" s="21"/>
      <c r="Z72" s="16"/>
      <c r="AA72" s="16"/>
      <c r="AB72" s="16"/>
      <c r="AC72" s="16"/>
    </row>
    <row r="73" spans="1:29">
      <c r="A73" s="120"/>
      <c r="B73" s="120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9"/>
      <c r="S73" s="19"/>
      <c r="T73" s="16"/>
      <c r="U73" s="21"/>
      <c r="V73" s="16"/>
      <c r="W73" s="16"/>
      <c r="X73" s="16"/>
      <c r="Y73" s="21"/>
      <c r="Z73" s="16"/>
      <c r="AA73" s="16"/>
      <c r="AB73" s="16"/>
      <c r="AC73" s="16"/>
    </row>
    <row r="74" spans="1:29">
      <c r="A74" s="119"/>
      <c r="B74" s="119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9"/>
      <c r="S74" s="19"/>
      <c r="T74" s="16"/>
      <c r="U74" s="21"/>
      <c r="V74" s="16"/>
      <c r="W74" s="16"/>
      <c r="X74" s="16"/>
      <c r="Y74" s="21"/>
      <c r="Z74" s="16"/>
      <c r="AA74" s="16"/>
      <c r="AB74" s="16"/>
      <c r="AC74" s="16"/>
    </row>
    <row r="75" spans="1:29">
      <c r="A75" s="120"/>
      <c r="B75" s="120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9"/>
      <c r="S75" s="19"/>
      <c r="T75" s="16"/>
      <c r="U75" s="21"/>
      <c r="V75" s="16"/>
      <c r="W75" s="16"/>
      <c r="X75" s="16"/>
      <c r="Y75" s="21"/>
      <c r="Z75" s="16"/>
      <c r="AA75" s="16"/>
      <c r="AB75" s="16"/>
      <c r="AC75" s="16"/>
    </row>
    <row r="76" spans="1:29">
      <c r="A76" s="119"/>
      <c r="B76" s="119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9"/>
      <c r="S76" s="19"/>
      <c r="T76" s="16"/>
      <c r="U76" s="21"/>
      <c r="V76" s="16"/>
      <c r="W76" s="16"/>
      <c r="X76" s="16"/>
      <c r="Y76" s="21"/>
      <c r="Z76" s="16"/>
      <c r="AA76" s="16"/>
      <c r="AB76" s="16"/>
      <c r="AC76" s="16"/>
    </row>
    <row r="77" spans="1:29">
      <c r="A77" s="120"/>
      <c r="B77" s="120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9"/>
      <c r="S77" s="19"/>
      <c r="T77" s="16"/>
      <c r="U77" s="21"/>
      <c r="V77" s="16"/>
      <c r="W77" s="16"/>
      <c r="X77" s="16"/>
      <c r="Y77" s="21"/>
      <c r="Z77" s="16"/>
      <c r="AA77" s="16"/>
      <c r="AB77" s="16"/>
      <c r="AC77" s="16"/>
    </row>
    <row r="78" spans="1:29">
      <c r="A78" s="119"/>
      <c r="B78" s="119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9"/>
      <c r="S78" s="19"/>
      <c r="T78" s="16"/>
      <c r="U78" s="21"/>
      <c r="V78" s="16"/>
      <c r="W78" s="16"/>
      <c r="X78" s="16"/>
      <c r="Y78" s="21"/>
      <c r="Z78" s="16"/>
      <c r="AA78" s="16"/>
      <c r="AB78" s="16"/>
      <c r="AC78" s="16"/>
    </row>
    <row r="79" spans="1:29">
      <c r="A79" s="120"/>
      <c r="B79" s="120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9"/>
      <c r="S79" s="19"/>
      <c r="T79" s="16"/>
      <c r="U79" s="21"/>
      <c r="V79" s="16"/>
      <c r="W79" s="16"/>
      <c r="X79" s="16"/>
      <c r="Y79" s="21"/>
      <c r="Z79" s="16"/>
      <c r="AA79" s="16"/>
      <c r="AB79" s="16"/>
      <c r="AC79" s="16"/>
    </row>
    <row r="80" spans="1:29">
      <c r="A80" s="119"/>
      <c r="B80" s="119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9"/>
      <c r="S80" s="19"/>
      <c r="T80" s="16"/>
      <c r="U80" s="21"/>
      <c r="V80" s="16"/>
      <c r="W80" s="16"/>
      <c r="X80" s="16"/>
      <c r="Y80" s="21"/>
      <c r="Z80" s="16"/>
      <c r="AA80" s="16"/>
      <c r="AB80" s="16"/>
      <c r="AC80" s="16"/>
    </row>
    <row r="81" spans="1:29">
      <c r="A81" s="120"/>
      <c r="B81" s="120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9"/>
      <c r="S81" s="19"/>
      <c r="T81" s="16"/>
      <c r="U81" s="21"/>
      <c r="V81" s="16"/>
      <c r="W81" s="16"/>
      <c r="X81" s="16"/>
      <c r="Y81" s="21"/>
      <c r="Z81" s="16"/>
      <c r="AA81" s="16"/>
      <c r="AB81" s="16"/>
      <c r="AC81" s="16"/>
    </row>
    <row r="82" spans="1:29">
      <c r="A82" s="119"/>
      <c r="B82" s="119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9"/>
      <c r="S82" s="19"/>
      <c r="T82" s="16"/>
      <c r="U82" s="21"/>
      <c r="V82" s="16"/>
      <c r="W82" s="16"/>
      <c r="X82" s="16"/>
      <c r="Y82" s="21"/>
      <c r="Z82" s="16"/>
      <c r="AA82" s="16"/>
      <c r="AB82" s="16"/>
      <c r="AC82" s="16"/>
    </row>
    <row r="83" spans="1:29">
      <c r="A83" s="120"/>
      <c r="B83" s="120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9"/>
      <c r="S83" s="19"/>
      <c r="T83" s="16"/>
      <c r="U83" s="21"/>
      <c r="V83" s="16"/>
      <c r="W83" s="16"/>
      <c r="X83" s="16"/>
      <c r="Y83" s="21"/>
      <c r="Z83" s="16"/>
      <c r="AA83" s="16"/>
      <c r="AB83" s="16"/>
      <c r="AC83" s="16"/>
    </row>
    <row r="84" spans="1:29">
      <c r="A84" s="119"/>
      <c r="B84" s="119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9"/>
      <c r="S84" s="19"/>
      <c r="T84" s="16"/>
      <c r="U84" s="21"/>
      <c r="V84" s="16"/>
      <c r="W84" s="16"/>
      <c r="X84" s="16"/>
      <c r="Y84" s="21"/>
      <c r="Z84" s="16"/>
      <c r="AA84" s="16"/>
      <c r="AB84" s="16"/>
      <c r="AC84" s="16"/>
    </row>
    <row r="85" spans="1:29">
      <c r="A85" s="120"/>
      <c r="B85" s="120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9"/>
      <c r="S85" s="19"/>
      <c r="T85" s="16"/>
      <c r="U85" s="21"/>
      <c r="V85" s="16"/>
      <c r="W85" s="16"/>
      <c r="X85" s="16"/>
      <c r="Y85" s="21"/>
      <c r="Z85" s="16"/>
      <c r="AA85" s="16"/>
      <c r="AB85" s="16"/>
      <c r="AC85" s="16"/>
    </row>
    <row r="86" spans="1:29">
      <c r="A86" s="119"/>
      <c r="B86" s="119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9"/>
      <c r="S86" s="19"/>
      <c r="T86" s="16"/>
      <c r="U86" s="21"/>
      <c r="V86" s="16"/>
      <c r="W86" s="16"/>
      <c r="X86" s="16"/>
      <c r="Y86" s="21"/>
      <c r="Z86" s="16"/>
      <c r="AA86" s="16"/>
      <c r="AB86" s="16"/>
      <c r="AC86" s="16"/>
    </row>
    <row r="87" spans="1:29">
      <c r="A87" s="120"/>
      <c r="B87" s="120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9"/>
      <c r="S87" s="19"/>
      <c r="T87" s="16"/>
      <c r="U87" s="21"/>
      <c r="V87" s="16"/>
      <c r="W87" s="16"/>
      <c r="X87" s="16"/>
      <c r="Y87" s="21"/>
      <c r="Z87" s="16"/>
      <c r="AA87" s="16"/>
      <c r="AB87" s="16"/>
      <c r="AC87" s="16"/>
    </row>
    <row r="88" spans="1:29">
      <c r="A88" s="119"/>
      <c r="B88" s="119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9"/>
      <c r="S88" s="19"/>
      <c r="T88" s="16"/>
      <c r="U88" s="21"/>
      <c r="V88" s="16"/>
      <c r="W88" s="16"/>
      <c r="X88" s="16"/>
      <c r="Y88" s="21"/>
      <c r="Z88" s="16"/>
      <c r="AA88" s="16"/>
      <c r="AB88" s="16"/>
      <c r="AC88" s="16"/>
    </row>
    <row r="89" spans="1:29">
      <c r="A89" s="120"/>
      <c r="B89" s="120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9"/>
      <c r="S89" s="19"/>
      <c r="T89" s="16"/>
      <c r="U89" s="21"/>
      <c r="V89" s="16"/>
      <c r="W89" s="16"/>
      <c r="X89" s="16"/>
      <c r="Y89" s="21"/>
      <c r="Z89" s="16"/>
      <c r="AA89" s="16"/>
      <c r="AB89" s="16"/>
      <c r="AC89" s="16"/>
    </row>
    <row r="90" spans="1:29">
      <c r="A90" s="119"/>
      <c r="B90" s="119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9"/>
      <c r="S90" s="19"/>
      <c r="T90" s="16"/>
      <c r="U90" s="21"/>
      <c r="V90" s="16"/>
      <c r="W90" s="16"/>
      <c r="X90" s="16"/>
      <c r="Y90" s="21"/>
      <c r="Z90" s="16"/>
      <c r="AA90" s="16"/>
      <c r="AB90" s="16"/>
      <c r="AC90" s="16"/>
    </row>
    <row r="91" spans="1:29">
      <c r="A91" s="120"/>
      <c r="B91" s="120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9"/>
      <c r="S91" s="19"/>
      <c r="T91" s="16"/>
      <c r="U91" s="21"/>
      <c r="V91" s="16"/>
      <c r="W91" s="16"/>
      <c r="X91" s="16"/>
      <c r="Y91" s="21"/>
      <c r="Z91" s="16"/>
      <c r="AA91" s="16"/>
      <c r="AB91" s="16"/>
      <c r="AC91" s="16"/>
    </row>
    <row r="92" spans="1:29">
      <c r="A92" s="119"/>
      <c r="B92" s="119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9"/>
      <c r="S92" s="19"/>
      <c r="T92" s="16"/>
      <c r="U92" s="21"/>
      <c r="V92" s="16"/>
      <c r="W92" s="16"/>
      <c r="X92" s="16"/>
      <c r="Y92" s="21"/>
      <c r="Z92" s="16"/>
      <c r="AA92" s="16"/>
      <c r="AB92" s="16"/>
      <c r="AC92" s="16"/>
    </row>
    <row r="93" spans="1:29">
      <c r="A93" s="120"/>
      <c r="B93" s="120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9"/>
      <c r="S93" s="19"/>
      <c r="T93" s="16"/>
      <c r="U93" s="21"/>
      <c r="V93" s="16"/>
      <c r="W93" s="16"/>
      <c r="X93" s="16"/>
      <c r="Y93" s="21"/>
      <c r="Z93" s="16"/>
      <c r="AA93" s="16"/>
      <c r="AB93" s="16"/>
      <c r="AC93" s="16"/>
    </row>
    <row r="94" spans="1:29">
      <c r="A94" s="119"/>
      <c r="B94" s="119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9"/>
      <c r="S94" s="19"/>
      <c r="T94" s="16"/>
      <c r="U94" s="21"/>
      <c r="V94" s="16"/>
      <c r="W94" s="16"/>
      <c r="X94" s="16"/>
      <c r="Y94" s="21"/>
      <c r="Z94" s="16"/>
      <c r="AA94" s="16"/>
      <c r="AB94" s="16"/>
      <c r="AC94" s="16"/>
    </row>
    <row r="95" spans="1:29">
      <c r="A95" s="120"/>
      <c r="B95" s="120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9"/>
      <c r="S95" s="19"/>
      <c r="T95" s="16"/>
      <c r="U95" s="21"/>
      <c r="V95" s="16"/>
      <c r="W95" s="16"/>
      <c r="X95" s="16"/>
      <c r="Y95" s="21"/>
      <c r="Z95" s="16"/>
      <c r="AA95" s="16"/>
      <c r="AB95" s="16"/>
      <c r="AC95" s="16"/>
    </row>
    <row r="96" spans="1:29">
      <c r="A96" s="119"/>
      <c r="B96" s="119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9"/>
      <c r="S96" s="19"/>
      <c r="T96" s="16"/>
      <c r="U96" s="21"/>
      <c r="V96" s="16"/>
      <c r="W96" s="16"/>
      <c r="X96" s="16"/>
      <c r="Y96" s="21"/>
      <c r="Z96" s="16"/>
      <c r="AA96" s="16"/>
      <c r="AB96" s="16"/>
      <c r="AC96" s="16"/>
    </row>
    <row r="97" spans="1:29">
      <c r="A97" s="120"/>
      <c r="B97" s="120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9"/>
      <c r="S97" s="19"/>
      <c r="T97" s="16"/>
      <c r="U97" s="21"/>
      <c r="V97" s="16"/>
      <c r="W97" s="16"/>
      <c r="X97" s="16"/>
      <c r="Y97" s="21"/>
      <c r="Z97" s="16"/>
      <c r="AA97" s="16"/>
      <c r="AB97" s="16"/>
      <c r="AC97" s="16"/>
    </row>
    <row r="98" spans="1:29">
      <c r="A98" s="119"/>
      <c r="B98" s="119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9"/>
      <c r="S98" s="19"/>
      <c r="T98" s="16"/>
      <c r="U98" s="21"/>
      <c r="V98" s="16"/>
      <c r="W98" s="16"/>
      <c r="X98" s="16"/>
      <c r="Y98" s="21"/>
      <c r="Z98" s="16"/>
      <c r="AA98" s="16"/>
      <c r="AB98" s="16"/>
      <c r="AC98" s="16"/>
    </row>
    <row r="99" spans="1:29">
      <c r="A99" s="120"/>
      <c r="B99" s="120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9"/>
      <c r="S99" s="19"/>
      <c r="T99" s="16"/>
      <c r="U99" s="21"/>
      <c r="V99" s="16"/>
      <c r="W99" s="16"/>
      <c r="X99" s="16"/>
      <c r="Y99" s="21"/>
      <c r="Z99" s="16"/>
      <c r="AA99" s="16"/>
      <c r="AB99" s="16"/>
      <c r="AC99" s="16"/>
    </row>
    <row r="100" spans="1:29">
      <c r="A100" s="119"/>
      <c r="B100" s="119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9"/>
      <c r="S100" s="19"/>
      <c r="T100" s="16"/>
      <c r="U100" s="21"/>
      <c r="V100" s="16"/>
      <c r="W100" s="16"/>
      <c r="X100" s="16"/>
      <c r="Y100" s="21"/>
      <c r="Z100" s="16"/>
      <c r="AA100" s="16"/>
      <c r="AB100" s="16"/>
      <c r="AC100" s="16"/>
    </row>
    <row r="101" spans="1:29">
      <c r="A101" s="120"/>
      <c r="B101" s="120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9"/>
      <c r="S101" s="19"/>
      <c r="T101" s="16"/>
      <c r="U101" s="21"/>
      <c r="V101" s="16"/>
      <c r="W101" s="16"/>
      <c r="X101" s="16"/>
      <c r="Y101" s="21"/>
      <c r="Z101" s="16"/>
      <c r="AA101" s="16"/>
      <c r="AB101" s="16"/>
      <c r="AC101" s="16"/>
    </row>
    <row r="102" spans="1:29">
      <c r="A102" s="119"/>
      <c r="B102" s="119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9"/>
      <c r="S102" s="19"/>
      <c r="T102" s="16"/>
      <c r="U102" s="21"/>
      <c r="V102" s="16"/>
      <c r="W102" s="16"/>
      <c r="X102" s="16"/>
      <c r="Y102" s="21"/>
      <c r="Z102" s="16"/>
      <c r="AA102" s="16"/>
      <c r="AB102" s="16"/>
      <c r="AC102" s="16"/>
    </row>
    <row r="103" spans="1:29">
      <c r="A103" s="120"/>
      <c r="B103" s="120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9"/>
      <c r="S103" s="19"/>
      <c r="T103" s="16"/>
      <c r="U103" s="21"/>
      <c r="V103" s="16"/>
      <c r="W103" s="16"/>
      <c r="X103" s="16"/>
      <c r="Y103" s="21"/>
      <c r="Z103" s="16"/>
      <c r="AA103" s="16"/>
      <c r="AB103" s="16"/>
      <c r="AC103" s="16"/>
    </row>
    <row r="104" spans="1:29">
      <c r="A104" s="119"/>
      <c r="B104" s="119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9"/>
      <c r="S104" s="19"/>
      <c r="T104" s="16"/>
      <c r="U104" s="21"/>
      <c r="V104" s="16"/>
      <c r="W104" s="16"/>
      <c r="X104" s="16"/>
      <c r="Y104" s="21"/>
      <c r="Z104" s="16"/>
      <c r="AA104" s="16"/>
      <c r="AB104" s="16"/>
      <c r="AC104" s="16"/>
    </row>
    <row r="105" spans="1:29">
      <c r="A105" s="120"/>
      <c r="B105" s="120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9"/>
      <c r="S105" s="19"/>
      <c r="T105" s="16"/>
      <c r="U105" s="21"/>
      <c r="V105" s="16"/>
      <c r="W105" s="16"/>
      <c r="X105" s="16"/>
      <c r="Y105" s="21"/>
      <c r="Z105" s="16"/>
      <c r="AA105" s="16"/>
      <c r="AB105" s="16"/>
      <c r="AC105" s="16"/>
    </row>
    <row r="106" spans="1:29">
      <c r="A106" s="119"/>
      <c r="B106" s="119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9"/>
      <c r="S106" s="19"/>
      <c r="T106" s="16"/>
      <c r="U106" s="21"/>
      <c r="V106" s="16"/>
      <c r="W106" s="16"/>
      <c r="X106" s="16"/>
      <c r="Y106" s="21"/>
      <c r="Z106" s="16"/>
      <c r="AA106" s="16"/>
      <c r="AB106" s="16"/>
      <c r="AC106" s="16"/>
    </row>
    <row r="107" spans="1:29">
      <c r="A107" s="120"/>
      <c r="B107" s="120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9"/>
      <c r="S107" s="19"/>
      <c r="T107" s="16"/>
      <c r="U107" s="21"/>
      <c r="V107" s="16"/>
      <c r="W107" s="16"/>
      <c r="X107" s="16"/>
      <c r="Y107" s="21"/>
      <c r="Z107" s="16"/>
      <c r="AA107" s="16"/>
      <c r="AB107" s="16"/>
      <c r="AC107" s="16"/>
    </row>
    <row r="108" spans="1:29">
      <c r="A108" s="119"/>
      <c r="B108" s="119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9"/>
      <c r="S108" s="19"/>
      <c r="T108" s="16"/>
      <c r="U108" s="21"/>
      <c r="V108" s="16"/>
      <c r="W108" s="16"/>
      <c r="X108" s="16"/>
      <c r="Y108" s="21"/>
      <c r="Z108" s="16"/>
      <c r="AA108" s="16"/>
      <c r="AB108" s="16"/>
      <c r="AC108" s="16"/>
    </row>
    <row r="109" spans="1:29">
      <c r="A109" s="120"/>
      <c r="B109" s="120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9"/>
      <c r="S109" s="19"/>
      <c r="T109" s="16"/>
      <c r="U109" s="21"/>
      <c r="V109" s="16"/>
      <c r="W109" s="16"/>
      <c r="X109" s="16"/>
      <c r="Y109" s="21"/>
      <c r="Z109" s="16"/>
      <c r="AA109" s="16"/>
      <c r="AB109" s="16"/>
      <c r="AC109" s="16"/>
    </row>
    <row r="110" spans="1:29">
      <c r="A110" s="119"/>
      <c r="B110" s="119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9"/>
      <c r="S110" s="19"/>
      <c r="T110" s="16"/>
      <c r="U110" s="21"/>
      <c r="V110" s="16"/>
      <c r="W110" s="16"/>
      <c r="X110" s="16"/>
      <c r="Y110" s="21"/>
      <c r="Z110" s="16"/>
      <c r="AA110" s="16"/>
      <c r="AB110" s="16"/>
      <c r="AC110" s="16"/>
    </row>
    <row r="111" spans="1:29">
      <c r="A111" s="120"/>
      <c r="B111" s="120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9"/>
      <c r="S111" s="19"/>
      <c r="T111" s="16"/>
      <c r="U111" s="21"/>
      <c r="V111" s="16"/>
      <c r="W111" s="16"/>
      <c r="X111" s="16"/>
      <c r="Y111" s="21"/>
      <c r="Z111" s="16"/>
      <c r="AA111" s="16"/>
      <c r="AB111" s="16"/>
      <c r="AC111" s="16"/>
    </row>
    <row r="112" spans="1:29">
      <c r="A112" s="119"/>
      <c r="B112" s="119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9"/>
      <c r="S112" s="19"/>
      <c r="T112" s="16"/>
      <c r="U112" s="21"/>
      <c r="V112" s="16"/>
      <c r="W112" s="16"/>
      <c r="X112" s="16"/>
      <c r="Y112" s="21"/>
      <c r="Z112" s="16"/>
      <c r="AA112" s="16"/>
      <c r="AB112" s="16"/>
      <c r="AC112" s="16"/>
    </row>
    <row r="113" spans="1:29">
      <c r="A113" s="120"/>
      <c r="B113" s="120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9"/>
      <c r="S113" s="19"/>
      <c r="T113" s="16"/>
      <c r="U113" s="21"/>
      <c r="V113" s="16"/>
      <c r="W113" s="16"/>
      <c r="X113" s="16"/>
      <c r="Y113" s="21"/>
      <c r="Z113" s="16"/>
      <c r="AA113" s="16"/>
      <c r="AB113" s="16"/>
      <c r="AC113" s="16"/>
    </row>
    <row r="114" spans="1:29">
      <c r="A114" s="119"/>
      <c r="B114" s="119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9"/>
      <c r="S114" s="19"/>
      <c r="T114" s="16"/>
      <c r="U114" s="21"/>
      <c r="V114" s="16"/>
      <c r="W114" s="16"/>
      <c r="X114" s="16"/>
      <c r="Y114" s="21"/>
      <c r="Z114" s="16"/>
      <c r="AA114" s="16"/>
      <c r="AB114" s="16"/>
      <c r="AC114" s="16"/>
    </row>
    <row r="115" spans="1:29">
      <c r="A115" s="120"/>
      <c r="B115" s="120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9"/>
      <c r="S115" s="19"/>
      <c r="T115" s="16"/>
      <c r="U115" s="21"/>
      <c r="V115" s="16"/>
      <c r="W115" s="16"/>
      <c r="X115" s="16"/>
      <c r="Y115" s="21"/>
      <c r="Z115" s="16"/>
      <c r="AA115" s="16"/>
      <c r="AB115" s="16"/>
      <c r="AC115" s="16"/>
    </row>
    <row r="116" spans="1:29">
      <c r="A116" s="119"/>
      <c r="B116" s="119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9"/>
      <c r="S116" s="19"/>
      <c r="T116" s="16"/>
      <c r="U116" s="21">
        <f>SUM(Tabela224[[#This Row],[PENÚLTIMO SALÁRIO]]+Tabela224[[#This Row],[ÚLTIMO SALÁRIO]]+Tabela224[[#This Row],[SALÁRIO ATUAL]])</f>
        <v>0</v>
      </c>
      <c r="V116" s="16"/>
      <c r="W116" s="16"/>
      <c r="X116" s="16"/>
      <c r="Y116" s="21">
        <f>SUM(Tabela224[[#This Row],[SALÁRIO ATUAL]]+Tabela224[[#This Row],[AUMENTO ESPONTÂNEO]]+Tabela224[[#This Row],[COMPLEMENTO SALARIAL]])</f>
        <v>0</v>
      </c>
      <c r="Z116" s="16"/>
      <c r="AA116" s="16"/>
      <c r="AB116" s="16"/>
      <c r="AC116" s="16"/>
    </row>
    <row r="117" spans="1:29">
      <c r="A117" s="120"/>
      <c r="B117" s="120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9"/>
      <c r="S117" s="19"/>
      <c r="T117" s="16"/>
      <c r="U117" s="21">
        <f>SUM(Tabela224[[#This Row],[PENÚLTIMO SALÁRIO]]+Tabela224[[#This Row],[ÚLTIMO SALÁRIO]]+Tabela224[[#This Row],[SALÁRIO ATUAL]])</f>
        <v>0</v>
      </c>
      <c r="V117" s="16"/>
      <c r="W117" s="16"/>
      <c r="X117" s="16"/>
      <c r="Y117" s="21">
        <f>SUM(Tabela224[[#This Row],[SALÁRIO ATUAL]]+Tabela224[[#This Row],[AUMENTO ESPONTÂNEO]]+Tabela224[[#This Row],[COMPLEMENTO SALARIAL]])</f>
        <v>0</v>
      </c>
      <c r="Z117" s="16"/>
      <c r="AA117" s="16"/>
      <c r="AB117" s="16"/>
      <c r="AC117" s="16"/>
    </row>
    <row r="118" spans="1:29">
      <c r="A118" s="119"/>
      <c r="B118" s="119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9"/>
      <c r="S118" s="19"/>
      <c r="T118" s="16"/>
      <c r="U118" s="21">
        <f>SUM(Tabela224[[#This Row],[PENÚLTIMO SALÁRIO]]+Tabela224[[#This Row],[ÚLTIMO SALÁRIO]]+Tabela224[[#This Row],[SALÁRIO ATUAL]])</f>
        <v>0</v>
      </c>
      <c r="V118" s="16"/>
      <c r="W118" s="16"/>
      <c r="X118" s="16"/>
      <c r="Y118" s="21">
        <f>SUM(Tabela224[[#This Row],[SALÁRIO ATUAL]]+Tabela224[[#This Row],[AUMENTO ESPONTÂNEO]]+Tabela224[[#This Row],[COMPLEMENTO SALARIAL]])</f>
        <v>0</v>
      </c>
      <c r="Z118" s="16"/>
      <c r="AA118" s="16"/>
      <c r="AB118" s="16"/>
      <c r="AC118" s="16"/>
    </row>
    <row r="119" spans="1:29">
      <c r="A119" s="120"/>
      <c r="B119" s="120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9"/>
      <c r="S119" s="19"/>
      <c r="T119" s="16"/>
      <c r="U119" s="21">
        <f>SUM(Tabela224[[#This Row],[PENÚLTIMO SALÁRIO]]+Tabela224[[#This Row],[ÚLTIMO SALÁRIO]]+Tabela224[[#This Row],[SALÁRIO ATUAL]])</f>
        <v>0</v>
      </c>
      <c r="V119" s="16"/>
      <c r="W119" s="16"/>
      <c r="X119" s="16"/>
      <c r="Y119" s="21">
        <f>SUM(Tabela224[[#This Row],[SALÁRIO ATUAL]]+Tabela224[[#This Row],[AUMENTO ESPONTÂNEO]]+Tabela224[[#This Row],[COMPLEMENTO SALARIAL]])</f>
        <v>0</v>
      </c>
      <c r="Z119" s="16"/>
      <c r="AA119" s="16"/>
      <c r="AB119" s="16"/>
      <c r="AC119" s="16"/>
    </row>
    <row r="120" spans="1:29">
      <c r="A120" s="119"/>
      <c r="B120" s="119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9"/>
      <c r="S120" s="19"/>
      <c r="T120" s="16"/>
      <c r="U120" s="21">
        <f>SUM(Tabela224[[#This Row],[PENÚLTIMO SALÁRIO]]+Tabela224[[#This Row],[ÚLTIMO SALÁRIO]]+Tabela224[[#This Row],[SALÁRIO ATUAL]])</f>
        <v>0</v>
      </c>
      <c r="V120" s="16"/>
      <c r="W120" s="16"/>
      <c r="X120" s="16"/>
      <c r="Y120" s="21">
        <f>SUM(Tabela224[[#This Row],[SALÁRIO ATUAL]]+Tabela224[[#This Row],[AUMENTO ESPONTÂNEO]]+Tabela224[[#This Row],[COMPLEMENTO SALARIAL]])</f>
        <v>0</v>
      </c>
      <c r="Z120" s="16"/>
      <c r="AA120" s="16"/>
      <c r="AB120" s="16"/>
      <c r="AC120" s="16"/>
    </row>
    <row r="121" spans="1:29">
      <c r="A121" s="120"/>
      <c r="B121" s="120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9"/>
      <c r="S121" s="19"/>
      <c r="T121" s="16"/>
      <c r="U121" s="21">
        <f>SUM(Tabela224[[#This Row],[PENÚLTIMO SALÁRIO]]+Tabela224[[#This Row],[ÚLTIMO SALÁRIO]]+Tabela224[[#This Row],[SALÁRIO ATUAL]])</f>
        <v>0</v>
      </c>
      <c r="V121" s="16"/>
      <c r="W121" s="16"/>
      <c r="X121" s="16"/>
      <c r="Y121" s="21">
        <f>SUM(Tabela224[[#This Row],[SALÁRIO ATUAL]]+Tabela224[[#This Row],[AUMENTO ESPONTÂNEO]]+Tabela224[[#This Row],[COMPLEMENTO SALARIAL]])</f>
        <v>0</v>
      </c>
      <c r="Z121" s="16"/>
      <c r="AA121" s="16"/>
      <c r="AB121" s="16"/>
      <c r="AC121" s="16"/>
    </row>
    <row r="122" spans="1:29">
      <c r="A122" s="119"/>
      <c r="B122" s="119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9"/>
      <c r="S122" s="19"/>
      <c r="T122" s="16"/>
      <c r="U122" s="21">
        <f>SUM(Tabela224[[#This Row],[PENÚLTIMO SALÁRIO]]+Tabela224[[#This Row],[ÚLTIMO SALÁRIO]]+Tabela224[[#This Row],[SALÁRIO ATUAL]])</f>
        <v>0</v>
      </c>
      <c r="V122" s="16"/>
      <c r="W122" s="16"/>
      <c r="X122" s="16"/>
      <c r="Y122" s="21">
        <f>SUM(Tabela224[[#This Row],[SALÁRIO ATUAL]]+Tabela224[[#This Row],[AUMENTO ESPONTÂNEO]]+Tabela224[[#This Row],[COMPLEMENTO SALARIAL]])</f>
        <v>0</v>
      </c>
      <c r="Z122" s="16"/>
      <c r="AA122" s="16"/>
      <c r="AB122" s="16"/>
      <c r="AC122" s="16"/>
    </row>
    <row r="123" spans="1:29">
      <c r="A123" s="120"/>
      <c r="B123" s="120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9"/>
      <c r="S123" s="19"/>
      <c r="T123" s="16"/>
      <c r="U123" s="21">
        <f>SUM(Tabela224[[#This Row],[PENÚLTIMO SALÁRIO]]+Tabela224[[#This Row],[ÚLTIMO SALÁRIO]]+Tabela224[[#This Row],[SALÁRIO ATUAL]])</f>
        <v>0</v>
      </c>
      <c r="V123" s="16"/>
      <c r="W123" s="16"/>
      <c r="X123" s="16"/>
      <c r="Y123" s="21">
        <f>SUM(Tabela224[[#This Row],[SALÁRIO ATUAL]]+Tabela224[[#This Row],[AUMENTO ESPONTÂNEO]]+Tabela224[[#This Row],[COMPLEMENTO SALARIAL]])</f>
        <v>0</v>
      </c>
      <c r="Z123" s="16"/>
      <c r="AA123" s="16"/>
      <c r="AB123" s="16"/>
      <c r="AC123" s="16"/>
    </row>
    <row r="124" spans="1:29">
      <c r="A124" s="119"/>
      <c r="B124" s="119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9"/>
      <c r="S124" s="19"/>
      <c r="T124" s="16"/>
      <c r="U124" s="21">
        <f>SUM(Tabela224[[#This Row],[PENÚLTIMO SALÁRIO]]+Tabela224[[#This Row],[ÚLTIMO SALÁRIO]]+Tabela224[[#This Row],[SALÁRIO ATUAL]])</f>
        <v>0</v>
      </c>
      <c r="V124" s="16"/>
      <c r="W124" s="16"/>
      <c r="X124" s="16"/>
      <c r="Y124" s="21">
        <f>SUM(Tabela224[[#This Row],[SALÁRIO ATUAL]]+Tabela224[[#This Row],[AUMENTO ESPONTÂNEO]]+Tabela224[[#This Row],[COMPLEMENTO SALARIAL]])</f>
        <v>0</v>
      </c>
      <c r="Z124" s="16"/>
      <c r="AA124" s="16"/>
      <c r="AB124" s="16"/>
      <c r="AC124" s="16"/>
    </row>
    <row r="125" spans="1:29">
      <c r="A125" s="120"/>
      <c r="B125" s="120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9"/>
      <c r="S125" s="19"/>
      <c r="T125" s="16"/>
      <c r="U125" s="21">
        <f>SUM(Tabela224[[#This Row],[PENÚLTIMO SALÁRIO]]+Tabela224[[#This Row],[ÚLTIMO SALÁRIO]]+Tabela224[[#This Row],[SALÁRIO ATUAL]])</f>
        <v>0</v>
      </c>
      <c r="V125" s="16"/>
      <c r="W125" s="16"/>
      <c r="X125" s="16"/>
      <c r="Y125" s="21">
        <f>SUM(Tabela224[[#This Row],[SALÁRIO ATUAL]]+Tabela224[[#This Row],[AUMENTO ESPONTÂNEO]]+Tabela224[[#This Row],[COMPLEMENTO SALARIAL]])</f>
        <v>0</v>
      </c>
      <c r="Z125" s="16"/>
      <c r="AA125" s="16"/>
      <c r="AB125" s="16"/>
      <c r="AC125" s="16"/>
    </row>
    <row r="126" spans="1:29">
      <c r="A126" s="119"/>
      <c r="B126" s="119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9"/>
      <c r="S126" s="19"/>
      <c r="T126" s="16"/>
      <c r="U126" s="21">
        <f>SUM(Tabela224[[#This Row],[PENÚLTIMO SALÁRIO]]+Tabela224[[#This Row],[ÚLTIMO SALÁRIO]]+Tabela224[[#This Row],[SALÁRIO ATUAL]])</f>
        <v>0</v>
      </c>
      <c r="V126" s="16"/>
      <c r="W126" s="16"/>
      <c r="X126" s="16"/>
      <c r="Y126" s="21">
        <f>SUM(Tabela224[[#This Row],[SALÁRIO ATUAL]]+Tabela224[[#This Row],[AUMENTO ESPONTÂNEO]]+Tabela224[[#This Row],[COMPLEMENTO SALARIAL]])</f>
        <v>0</v>
      </c>
      <c r="Z126" s="16"/>
      <c r="AA126" s="16"/>
      <c r="AB126" s="16"/>
      <c r="AC126" s="16"/>
    </row>
    <row r="127" spans="1:29">
      <c r="A127" s="120"/>
      <c r="B127" s="120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9"/>
      <c r="S127" s="19"/>
      <c r="T127" s="16"/>
      <c r="U127" s="21">
        <f>SUM(Tabela224[[#This Row],[PENÚLTIMO SALÁRIO]]+Tabela224[[#This Row],[ÚLTIMO SALÁRIO]]+Tabela224[[#This Row],[SALÁRIO ATUAL]])</f>
        <v>0</v>
      </c>
      <c r="V127" s="16"/>
      <c r="W127" s="16"/>
      <c r="X127" s="16"/>
      <c r="Y127" s="21">
        <f>SUM(Tabela224[[#This Row],[SALÁRIO ATUAL]]+Tabela224[[#This Row],[AUMENTO ESPONTÂNEO]]+Tabela224[[#This Row],[COMPLEMENTO SALARIAL]])</f>
        <v>0</v>
      </c>
      <c r="Z127" s="16"/>
      <c r="AA127" s="16"/>
      <c r="AB127" s="16"/>
      <c r="AC127" s="16"/>
    </row>
    <row r="128" spans="1:29">
      <c r="A128" s="119"/>
      <c r="B128" s="119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9"/>
      <c r="S128" s="19"/>
      <c r="T128" s="16"/>
      <c r="U128" s="21">
        <f>SUM(Tabela224[[#This Row],[PENÚLTIMO SALÁRIO]]+Tabela224[[#This Row],[ÚLTIMO SALÁRIO]]+Tabela224[[#This Row],[SALÁRIO ATUAL]])</f>
        <v>0</v>
      </c>
      <c r="V128" s="16"/>
      <c r="W128" s="16"/>
      <c r="X128" s="16"/>
      <c r="Y128" s="21">
        <f>SUM(Tabela224[[#This Row],[SALÁRIO ATUAL]]+Tabela224[[#This Row],[AUMENTO ESPONTÂNEO]]+Tabela224[[#This Row],[COMPLEMENTO SALARIAL]])</f>
        <v>0</v>
      </c>
      <c r="Z128" s="16"/>
      <c r="AA128" s="16"/>
      <c r="AB128" s="16"/>
      <c r="AC128" s="16"/>
    </row>
    <row r="129" spans="1:29">
      <c r="A129" s="120"/>
      <c r="B129" s="120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9"/>
      <c r="S129" s="19"/>
      <c r="T129" s="16"/>
      <c r="U129" s="21">
        <f>SUM(Tabela224[[#This Row],[PENÚLTIMO SALÁRIO]]+Tabela224[[#This Row],[ÚLTIMO SALÁRIO]]+Tabela224[[#This Row],[SALÁRIO ATUAL]])</f>
        <v>0</v>
      </c>
      <c r="V129" s="16"/>
      <c r="W129" s="16"/>
      <c r="X129" s="16"/>
      <c r="Y129" s="21">
        <f>SUM(Tabela224[[#This Row],[SALÁRIO ATUAL]]+Tabela224[[#This Row],[AUMENTO ESPONTÂNEO]]+Tabela224[[#This Row],[COMPLEMENTO SALARIAL]])</f>
        <v>0</v>
      </c>
      <c r="Z129" s="16"/>
      <c r="AA129" s="16"/>
      <c r="AB129" s="16"/>
      <c r="AC129" s="16"/>
    </row>
    <row r="130" spans="1:29">
      <c r="A130" s="119"/>
      <c r="B130" s="119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9"/>
      <c r="S130" s="19"/>
      <c r="T130" s="16"/>
      <c r="U130" s="21">
        <f>SUM(Tabela224[[#This Row],[PENÚLTIMO SALÁRIO]]+Tabela224[[#This Row],[ÚLTIMO SALÁRIO]]+Tabela224[[#This Row],[SALÁRIO ATUAL]])</f>
        <v>0</v>
      </c>
      <c r="V130" s="16"/>
      <c r="W130" s="16"/>
      <c r="X130" s="16"/>
      <c r="Y130" s="21">
        <f>SUM(Tabela224[[#This Row],[SALÁRIO ATUAL]]+Tabela224[[#This Row],[AUMENTO ESPONTÂNEO]]+Tabela224[[#This Row],[COMPLEMENTO SALARIAL]])</f>
        <v>0</v>
      </c>
      <c r="Z130" s="16"/>
      <c r="AA130" s="16"/>
      <c r="AB130" s="16"/>
      <c r="AC130" s="16"/>
    </row>
    <row r="131" spans="1:29">
      <c r="A131" s="120"/>
      <c r="B131" s="120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9"/>
      <c r="S131" s="19"/>
      <c r="T131" s="16"/>
      <c r="U131" s="21">
        <f>SUM(Tabela224[[#This Row],[PENÚLTIMO SALÁRIO]]+Tabela224[[#This Row],[ÚLTIMO SALÁRIO]]+Tabela224[[#This Row],[SALÁRIO ATUAL]])</f>
        <v>0</v>
      </c>
      <c r="V131" s="16"/>
      <c r="W131" s="16"/>
      <c r="X131" s="16"/>
      <c r="Y131" s="21">
        <f>SUM(Tabela224[[#This Row],[SALÁRIO ATUAL]]+Tabela224[[#This Row],[AUMENTO ESPONTÂNEO]]+Tabela224[[#This Row],[COMPLEMENTO SALARIAL]])</f>
        <v>0</v>
      </c>
      <c r="Z131" s="16"/>
      <c r="AA131" s="16"/>
      <c r="AB131" s="16"/>
      <c r="AC131" s="16"/>
    </row>
    <row r="132" spans="1:29">
      <c r="A132" s="119"/>
      <c r="B132" s="119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9"/>
      <c r="S132" s="19"/>
      <c r="T132" s="16"/>
      <c r="U132" s="21">
        <f>SUM(Tabela224[[#This Row],[PENÚLTIMO SALÁRIO]]+Tabela224[[#This Row],[ÚLTIMO SALÁRIO]]+Tabela224[[#This Row],[SALÁRIO ATUAL]])</f>
        <v>0</v>
      </c>
      <c r="V132" s="16"/>
      <c r="W132" s="16"/>
      <c r="X132" s="16"/>
      <c r="Y132" s="21">
        <f>SUM(Tabela224[[#This Row],[SALÁRIO ATUAL]]+Tabela224[[#This Row],[AUMENTO ESPONTÂNEO]]+Tabela224[[#This Row],[COMPLEMENTO SALARIAL]])</f>
        <v>0</v>
      </c>
      <c r="Z132" s="16"/>
      <c r="AA132" s="16"/>
      <c r="AB132" s="16"/>
      <c r="AC132" s="16"/>
    </row>
    <row r="133" spans="1:29">
      <c r="A133" s="120"/>
      <c r="B133" s="120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9"/>
      <c r="S133" s="19"/>
      <c r="T133" s="16"/>
      <c r="U133" s="21">
        <f>SUM(Tabela224[[#This Row],[PENÚLTIMO SALÁRIO]]+Tabela224[[#This Row],[ÚLTIMO SALÁRIO]]+Tabela224[[#This Row],[SALÁRIO ATUAL]])</f>
        <v>0</v>
      </c>
      <c r="V133" s="16"/>
      <c r="W133" s="16"/>
      <c r="X133" s="16"/>
      <c r="Y133" s="21">
        <f>SUM(Tabela224[[#This Row],[SALÁRIO ATUAL]]+Tabela224[[#This Row],[AUMENTO ESPONTÂNEO]]+Tabela224[[#This Row],[COMPLEMENTO SALARIAL]])</f>
        <v>0</v>
      </c>
      <c r="Z133" s="16"/>
      <c r="AA133" s="16"/>
      <c r="AB133" s="16"/>
      <c r="AC133" s="16"/>
    </row>
    <row r="134" spans="1:29">
      <c r="A134" s="119"/>
      <c r="B134" s="119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9"/>
      <c r="S134" s="19"/>
      <c r="T134" s="16"/>
      <c r="U134" s="21">
        <f>SUM(Tabela224[[#This Row],[PENÚLTIMO SALÁRIO]]+Tabela224[[#This Row],[ÚLTIMO SALÁRIO]]+Tabela224[[#This Row],[SALÁRIO ATUAL]])</f>
        <v>0</v>
      </c>
      <c r="V134" s="16"/>
      <c r="W134" s="16"/>
      <c r="X134" s="16"/>
      <c r="Y134" s="21">
        <f>SUM(Tabela224[[#This Row],[SALÁRIO ATUAL]]+Tabela224[[#This Row],[AUMENTO ESPONTÂNEO]]+Tabela224[[#This Row],[COMPLEMENTO SALARIAL]])</f>
        <v>0</v>
      </c>
      <c r="Z134" s="16"/>
      <c r="AA134" s="16"/>
      <c r="AB134" s="16"/>
      <c r="AC134" s="16"/>
    </row>
    <row r="135" spans="1:29">
      <c r="A135" s="120"/>
      <c r="B135" s="120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9"/>
      <c r="S135" s="19"/>
      <c r="T135" s="16"/>
      <c r="U135" s="21">
        <f>SUM(Tabela224[[#This Row],[PENÚLTIMO SALÁRIO]]+Tabela224[[#This Row],[ÚLTIMO SALÁRIO]]+Tabela224[[#This Row],[SALÁRIO ATUAL]])</f>
        <v>0</v>
      </c>
      <c r="V135" s="16"/>
      <c r="W135" s="16"/>
      <c r="X135" s="16"/>
      <c r="Y135" s="21">
        <f>SUM(Tabela224[[#This Row],[SALÁRIO ATUAL]]+Tabela224[[#This Row],[AUMENTO ESPONTÂNEO]]+Tabela224[[#This Row],[COMPLEMENTO SALARIAL]])</f>
        <v>0</v>
      </c>
      <c r="Z135" s="16"/>
      <c r="AA135" s="16"/>
      <c r="AB135" s="16"/>
      <c r="AC135" s="16"/>
    </row>
    <row r="136" spans="1:29">
      <c r="A136" s="119"/>
      <c r="B136" s="119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9"/>
      <c r="S136" s="19"/>
      <c r="T136" s="16"/>
      <c r="U136" s="21">
        <f>SUM(Tabela224[[#This Row],[PENÚLTIMO SALÁRIO]]+Tabela224[[#This Row],[ÚLTIMO SALÁRIO]]+Tabela224[[#This Row],[SALÁRIO ATUAL]])</f>
        <v>0</v>
      </c>
      <c r="V136" s="16"/>
      <c r="W136" s="16"/>
      <c r="X136" s="16"/>
      <c r="Y136" s="21">
        <f>SUM(Tabela224[[#This Row],[SALÁRIO ATUAL]]+Tabela224[[#This Row],[AUMENTO ESPONTÂNEO]]+Tabela224[[#This Row],[COMPLEMENTO SALARIAL]])</f>
        <v>0</v>
      </c>
      <c r="Z136" s="16"/>
      <c r="AA136" s="16"/>
      <c r="AB136" s="16"/>
      <c r="AC136" s="16"/>
    </row>
    <row r="137" spans="1:29">
      <c r="A137" s="120"/>
      <c r="B137" s="120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9"/>
      <c r="S137" s="19"/>
      <c r="T137" s="16"/>
      <c r="U137" s="21">
        <f>SUM(Tabela224[[#This Row],[PENÚLTIMO SALÁRIO]]+Tabela224[[#This Row],[ÚLTIMO SALÁRIO]]+Tabela224[[#This Row],[SALÁRIO ATUAL]])</f>
        <v>0</v>
      </c>
      <c r="V137" s="16"/>
      <c r="W137" s="16"/>
      <c r="X137" s="16"/>
      <c r="Y137" s="21">
        <f>SUM(Tabela224[[#This Row],[SALÁRIO ATUAL]]+Tabela224[[#This Row],[AUMENTO ESPONTÂNEO]]+Tabela224[[#This Row],[COMPLEMENTO SALARIAL]])</f>
        <v>0</v>
      </c>
      <c r="Z137" s="16"/>
      <c r="AA137" s="16"/>
      <c r="AB137" s="16"/>
      <c r="AC137" s="16"/>
    </row>
    <row r="138" spans="1:29">
      <c r="A138" s="119"/>
      <c r="B138" s="119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9"/>
      <c r="S138" s="19"/>
      <c r="T138" s="16"/>
      <c r="U138" s="21">
        <f>SUM(Tabela224[[#This Row],[PENÚLTIMO SALÁRIO]]+Tabela224[[#This Row],[ÚLTIMO SALÁRIO]]+Tabela224[[#This Row],[SALÁRIO ATUAL]])</f>
        <v>0</v>
      </c>
      <c r="V138" s="16"/>
      <c r="W138" s="16"/>
      <c r="X138" s="16"/>
      <c r="Y138" s="21">
        <f>SUM(Tabela224[[#This Row],[SALÁRIO ATUAL]]+Tabela224[[#This Row],[AUMENTO ESPONTÂNEO]]+Tabela224[[#This Row],[COMPLEMENTO SALARIAL]])</f>
        <v>0</v>
      </c>
      <c r="Z138" s="16"/>
      <c r="AA138" s="16"/>
      <c r="AB138" s="16"/>
      <c r="AC138" s="16"/>
    </row>
    <row r="139" spans="1:29">
      <c r="A139" s="120"/>
      <c r="B139" s="120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9"/>
      <c r="S139" s="19"/>
      <c r="T139" s="16"/>
      <c r="U139" s="21">
        <f>SUM(Tabela224[[#This Row],[PENÚLTIMO SALÁRIO]]+Tabela224[[#This Row],[ÚLTIMO SALÁRIO]]+Tabela224[[#This Row],[SALÁRIO ATUAL]])</f>
        <v>0</v>
      </c>
      <c r="V139" s="16"/>
      <c r="W139" s="16"/>
      <c r="X139" s="16"/>
      <c r="Y139" s="21">
        <f>SUM(Tabela224[[#This Row],[SALÁRIO ATUAL]]+Tabela224[[#This Row],[AUMENTO ESPONTÂNEO]]+Tabela224[[#This Row],[COMPLEMENTO SALARIAL]])</f>
        <v>0</v>
      </c>
      <c r="Z139" s="16"/>
      <c r="AA139" s="16"/>
      <c r="AB139" s="16"/>
      <c r="AC139" s="16"/>
    </row>
    <row r="140" spans="1:29">
      <c r="A140" s="119"/>
      <c r="B140" s="119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9"/>
      <c r="S140" s="19"/>
      <c r="T140" s="16"/>
      <c r="U140" s="21">
        <f>SUM(Tabela224[[#This Row],[PENÚLTIMO SALÁRIO]]+Tabela224[[#This Row],[ÚLTIMO SALÁRIO]]+Tabela224[[#This Row],[SALÁRIO ATUAL]])</f>
        <v>0</v>
      </c>
      <c r="V140" s="16"/>
      <c r="W140" s="16"/>
      <c r="X140" s="16"/>
      <c r="Y140" s="21">
        <f>SUM(Tabela224[[#This Row],[SALÁRIO ATUAL]]+Tabela224[[#This Row],[AUMENTO ESPONTÂNEO]]+Tabela224[[#This Row],[COMPLEMENTO SALARIAL]])</f>
        <v>0</v>
      </c>
      <c r="Z140" s="16"/>
      <c r="AA140" s="16"/>
      <c r="AB140" s="16"/>
      <c r="AC140" s="16"/>
    </row>
    <row r="141" spans="1:29">
      <c r="A141" s="120"/>
      <c r="B141" s="120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9"/>
      <c r="S141" s="19"/>
      <c r="T141" s="16"/>
      <c r="U141" s="21">
        <f>SUM(Tabela224[[#This Row],[PENÚLTIMO SALÁRIO]]+Tabela224[[#This Row],[ÚLTIMO SALÁRIO]]+Tabela224[[#This Row],[SALÁRIO ATUAL]])</f>
        <v>0</v>
      </c>
      <c r="V141" s="16"/>
      <c r="W141" s="16"/>
      <c r="X141" s="16"/>
      <c r="Y141" s="21">
        <f>SUM(Tabela224[[#This Row],[SALÁRIO ATUAL]]+Tabela224[[#This Row],[AUMENTO ESPONTÂNEO]]+Tabela224[[#This Row],[COMPLEMENTO SALARIAL]])</f>
        <v>0</v>
      </c>
      <c r="Z141" s="16"/>
      <c r="AA141" s="16"/>
      <c r="AB141" s="16"/>
      <c r="AC141" s="16"/>
    </row>
    <row r="142" spans="1:29">
      <c r="A142" s="119"/>
      <c r="B142" s="119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9"/>
      <c r="S142" s="19"/>
      <c r="T142" s="16"/>
      <c r="U142" s="21">
        <f>SUM(Tabela224[[#This Row],[PENÚLTIMO SALÁRIO]]+Tabela224[[#This Row],[ÚLTIMO SALÁRIO]]+Tabela224[[#This Row],[SALÁRIO ATUAL]])</f>
        <v>0</v>
      </c>
      <c r="V142" s="16"/>
      <c r="W142" s="16"/>
      <c r="X142" s="16"/>
      <c r="Y142" s="21">
        <f>SUM(Tabela224[[#This Row],[SALÁRIO ATUAL]]+Tabela224[[#This Row],[AUMENTO ESPONTÂNEO]]+Tabela224[[#This Row],[COMPLEMENTO SALARIAL]])</f>
        <v>0</v>
      </c>
      <c r="Z142" s="16"/>
      <c r="AA142" s="16"/>
      <c r="AB142" s="16"/>
      <c r="AC142" s="16"/>
    </row>
    <row r="143" spans="1:29">
      <c r="A143" s="120"/>
      <c r="B143" s="120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9"/>
      <c r="S143" s="19"/>
      <c r="T143" s="16"/>
      <c r="U143" s="21">
        <f>SUM(Tabela224[[#This Row],[PENÚLTIMO SALÁRIO]]+Tabela224[[#This Row],[ÚLTIMO SALÁRIO]]+Tabela224[[#This Row],[SALÁRIO ATUAL]])</f>
        <v>0</v>
      </c>
      <c r="V143" s="16"/>
      <c r="W143" s="16"/>
      <c r="X143" s="16"/>
      <c r="Y143" s="21">
        <f>SUM(Tabela224[[#This Row],[SALÁRIO ATUAL]]+Tabela224[[#This Row],[AUMENTO ESPONTÂNEO]]+Tabela224[[#This Row],[COMPLEMENTO SALARIAL]])</f>
        <v>0</v>
      </c>
      <c r="Z143" s="16"/>
      <c r="AA143" s="16"/>
      <c r="AB143" s="16"/>
      <c r="AC143" s="16"/>
    </row>
    <row r="144" spans="1:29">
      <c r="A144" s="119"/>
      <c r="B144" s="119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9"/>
      <c r="S144" s="19"/>
      <c r="T144" s="16"/>
      <c r="U144" s="21">
        <f>SUM(Tabela224[[#This Row],[PENÚLTIMO SALÁRIO]]+Tabela224[[#This Row],[ÚLTIMO SALÁRIO]]+Tabela224[[#This Row],[SALÁRIO ATUAL]])</f>
        <v>0</v>
      </c>
      <c r="V144" s="16"/>
      <c r="W144" s="16"/>
      <c r="X144" s="16"/>
      <c r="Y144" s="21">
        <f>SUM(Tabela224[[#This Row],[SALÁRIO ATUAL]]+Tabela224[[#This Row],[AUMENTO ESPONTÂNEO]]+Tabela224[[#This Row],[COMPLEMENTO SALARIAL]])</f>
        <v>0</v>
      </c>
      <c r="Z144" s="16"/>
      <c r="AA144" s="16"/>
      <c r="AB144" s="16"/>
      <c r="AC144" s="16"/>
    </row>
    <row r="145" spans="1:29">
      <c r="A145" s="120"/>
      <c r="B145" s="120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9"/>
      <c r="S145" s="19"/>
      <c r="T145" s="16"/>
      <c r="U145" s="21">
        <f>SUM(Tabela224[[#This Row],[PENÚLTIMO SALÁRIO]]+Tabela224[[#This Row],[ÚLTIMO SALÁRIO]]+Tabela224[[#This Row],[SALÁRIO ATUAL]])</f>
        <v>0</v>
      </c>
      <c r="V145" s="16"/>
      <c r="W145" s="16"/>
      <c r="X145" s="16"/>
      <c r="Y145" s="21">
        <f>SUM(Tabela224[[#This Row],[SALÁRIO ATUAL]]+Tabela224[[#This Row],[AUMENTO ESPONTÂNEO]]+Tabela224[[#This Row],[COMPLEMENTO SALARIAL]])</f>
        <v>0</v>
      </c>
      <c r="Z145" s="16"/>
      <c r="AA145" s="16"/>
      <c r="AB145" s="16"/>
      <c r="AC145" s="16"/>
    </row>
    <row r="146" spans="1:29">
      <c r="A146" s="119"/>
      <c r="B146" s="119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9"/>
      <c r="S146" s="19"/>
      <c r="T146" s="16"/>
      <c r="U146" s="21">
        <f>SUM(Tabela224[[#This Row],[PENÚLTIMO SALÁRIO]]+Tabela224[[#This Row],[ÚLTIMO SALÁRIO]]+Tabela224[[#This Row],[SALÁRIO ATUAL]])</f>
        <v>0</v>
      </c>
      <c r="V146" s="16"/>
      <c r="W146" s="16"/>
      <c r="X146" s="16"/>
      <c r="Y146" s="21">
        <f>SUM(Tabela224[[#This Row],[SALÁRIO ATUAL]]+Tabela224[[#This Row],[AUMENTO ESPONTÂNEO]]+Tabela224[[#This Row],[COMPLEMENTO SALARIAL]])</f>
        <v>0</v>
      </c>
      <c r="Z146" s="16"/>
      <c r="AA146" s="16"/>
      <c r="AB146" s="16"/>
      <c r="AC146" s="16"/>
    </row>
    <row r="147" spans="1:29">
      <c r="A147" s="120"/>
      <c r="B147" s="120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9"/>
      <c r="S147" s="19"/>
      <c r="T147" s="16"/>
      <c r="U147" s="21">
        <f>SUM(Tabela224[[#This Row],[PENÚLTIMO SALÁRIO]]+Tabela224[[#This Row],[ÚLTIMO SALÁRIO]]+Tabela224[[#This Row],[SALÁRIO ATUAL]])</f>
        <v>0</v>
      </c>
      <c r="V147" s="16"/>
      <c r="W147" s="16"/>
      <c r="X147" s="16"/>
      <c r="Y147" s="21">
        <f>SUM(Tabela224[[#This Row],[SALÁRIO ATUAL]]+Tabela224[[#This Row],[AUMENTO ESPONTÂNEO]]+Tabela224[[#This Row],[COMPLEMENTO SALARIAL]])</f>
        <v>0</v>
      </c>
      <c r="Z147" s="16"/>
      <c r="AA147" s="16"/>
      <c r="AB147" s="16"/>
      <c r="AC147" s="16"/>
    </row>
    <row r="148" spans="1:29">
      <c r="A148" s="119"/>
      <c r="B148" s="119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9"/>
      <c r="S148" s="19"/>
      <c r="T148" s="16"/>
      <c r="U148" s="21">
        <f>SUM(Tabela224[[#This Row],[PENÚLTIMO SALÁRIO]]+Tabela224[[#This Row],[ÚLTIMO SALÁRIO]]+Tabela224[[#This Row],[SALÁRIO ATUAL]])</f>
        <v>0</v>
      </c>
      <c r="V148" s="16"/>
      <c r="W148" s="16"/>
      <c r="X148" s="16"/>
      <c r="Y148" s="21">
        <f>SUM(Tabela224[[#This Row],[SALÁRIO ATUAL]]+Tabela224[[#This Row],[AUMENTO ESPONTÂNEO]]+Tabela224[[#This Row],[COMPLEMENTO SALARIAL]])</f>
        <v>0</v>
      </c>
      <c r="Z148" s="16"/>
      <c r="AA148" s="16"/>
      <c r="AB148" s="16"/>
      <c r="AC148" s="16"/>
    </row>
    <row r="149" spans="1:29">
      <c r="A149" s="120"/>
      <c r="B149" s="120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9"/>
      <c r="S149" s="19"/>
      <c r="T149" s="16"/>
      <c r="U149" s="21">
        <f>SUM(Tabela224[[#This Row],[PENÚLTIMO SALÁRIO]]+Tabela224[[#This Row],[ÚLTIMO SALÁRIO]]+Tabela224[[#This Row],[SALÁRIO ATUAL]])</f>
        <v>0</v>
      </c>
      <c r="V149" s="16"/>
      <c r="W149" s="16"/>
      <c r="X149" s="16"/>
      <c r="Y149" s="21">
        <f>SUM(Tabela224[[#This Row],[SALÁRIO ATUAL]]+Tabela224[[#This Row],[AUMENTO ESPONTÂNEO]]+Tabela224[[#This Row],[COMPLEMENTO SALARIAL]])</f>
        <v>0</v>
      </c>
      <c r="Z149" s="16"/>
      <c r="AA149" s="16"/>
      <c r="AB149" s="16"/>
      <c r="AC149" s="16"/>
    </row>
    <row r="150" spans="1:29">
      <c r="A150" s="119"/>
      <c r="B150" s="119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9"/>
      <c r="S150" s="19"/>
      <c r="T150" s="16"/>
      <c r="U150" s="21">
        <f>SUM(Tabela224[[#This Row],[PENÚLTIMO SALÁRIO]]+Tabela224[[#This Row],[ÚLTIMO SALÁRIO]]+Tabela224[[#This Row],[SALÁRIO ATUAL]])</f>
        <v>0</v>
      </c>
      <c r="V150" s="16"/>
      <c r="W150" s="16"/>
      <c r="X150" s="16"/>
      <c r="Y150" s="21">
        <f>SUM(Tabela224[[#This Row],[SALÁRIO ATUAL]]+Tabela224[[#This Row],[AUMENTO ESPONTÂNEO]]+Tabela224[[#This Row],[COMPLEMENTO SALARIAL]])</f>
        <v>0</v>
      </c>
      <c r="Z150" s="16"/>
      <c r="AA150" s="16"/>
      <c r="AB150" s="16"/>
      <c r="AC150" s="16"/>
    </row>
    <row r="151" spans="1:29">
      <c r="A151" s="120"/>
      <c r="B151" s="120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9"/>
      <c r="S151" s="19"/>
      <c r="T151" s="16"/>
      <c r="U151" s="21">
        <f>SUM(Tabela224[[#This Row],[PENÚLTIMO SALÁRIO]]+Tabela224[[#This Row],[ÚLTIMO SALÁRIO]]+Tabela224[[#This Row],[SALÁRIO ATUAL]])</f>
        <v>0</v>
      </c>
      <c r="V151" s="16"/>
      <c r="W151" s="16"/>
      <c r="X151" s="16"/>
      <c r="Y151" s="21">
        <f>SUM(Tabela224[[#This Row],[SALÁRIO ATUAL]]+Tabela224[[#This Row],[AUMENTO ESPONTÂNEO]]+Tabela224[[#This Row],[COMPLEMENTO SALARIAL]])</f>
        <v>0</v>
      </c>
      <c r="Z151" s="16"/>
      <c r="AA151" s="16"/>
      <c r="AB151" s="16"/>
      <c r="AC151" s="16"/>
    </row>
    <row r="152" spans="1:29">
      <c r="A152" s="119"/>
      <c r="B152" s="119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9"/>
      <c r="S152" s="19"/>
      <c r="T152" s="16"/>
      <c r="U152" s="21">
        <f>SUM(Tabela224[[#This Row],[PENÚLTIMO SALÁRIO]]+Tabela224[[#This Row],[ÚLTIMO SALÁRIO]]+Tabela224[[#This Row],[SALÁRIO ATUAL]])</f>
        <v>0</v>
      </c>
      <c r="V152" s="16"/>
      <c r="W152" s="16"/>
      <c r="X152" s="16"/>
      <c r="Y152" s="21">
        <f>SUM(Tabela224[[#This Row],[SALÁRIO ATUAL]]+Tabela224[[#This Row],[AUMENTO ESPONTÂNEO]]+Tabela224[[#This Row],[COMPLEMENTO SALARIAL]])</f>
        <v>0</v>
      </c>
      <c r="Z152" s="16"/>
      <c r="AA152" s="16"/>
      <c r="AB152" s="16"/>
      <c r="AC152" s="16"/>
    </row>
    <row r="153" spans="1:29">
      <c r="A153" s="120"/>
      <c r="B153" s="120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9"/>
      <c r="S153" s="19"/>
      <c r="T153" s="16"/>
      <c r="U153" s="21">
        <f>SUM(Tabela224[[#This Row],[PENÚLTIMO SALÁRIO]]+Tabela224[[#This Row],[ÚLTIMO SALÁRIO]]+Tabela224[[#This Row],[SALÁRIO ATUAL]])</f>
        <v>0</v>
      </c>
      <c r="V153" s="16"/>
      <c r="W153" s="16"/>
      <c r="X153" s="16"/>
      <c r="Y153" s="21">
        <f>SUM(Tabela224[[#This Row],[SALÁRIO ATUAL]]+Tabela224[[#This Row],[AUMENTO ESPONTÂNEO]]+Tabela224[[#This Row],[COMPLEMENTO SALARIAL]])</f>
        <v>0</v>
      </c>
      <c r="Z153" s="16"/>
      <c r="AA153" s="16"/>
      <c r="AB153" s="16"/>
      <c r="AC153" s="16"/>
    </row>
    <row r="154" spans="1:29">
      <c r="A154" s="119"/>
      <c r="B154" s="119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9"/>
      <c r="S154" s="19"/>
      <c r="T154" s="16"/>
      <c r="U154" s="21">
        <f>SUM(Tabela224[[#This Row],[PENÚLTIMO SALÁRIO]]+Tabela224[[#This Row],[ÚLTIMO SALÁRIO]]+Tabela224[[#This Row],[SALÁRIO ATUAL]])</f>
        <v>0</v>
      </c>
      <c r="V154" s="16"/>
      <c r="W154" s="16"/>
      <c r="X154" s="16"/>
      <c r="Y154" s="21">
        <f>SUM(Tabela224[[#This Row],[SALÁRIO ATUAL]]+Tabela224[[#This Row],[AUMENTO ESPONTÂNEO]]+Tabela224[[#This Row],[COMPLEMENTO SALARIAL]])</f>
        <v>0</v>
      </c>
      <c r="Z154" s="16"/>
      <c r="AA154" s="16"/>
      <c r="AB154" s="16"/>
      <c r="AC154" s="16"/>
    </row>
    <row r="155" spans="1:29">
      <c r="A155" s="120"/>
      <c r="B155" s="120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9"/>
      <c r="S155" s="19"/>
      <c r="T155" s="16"/>
      <c r="U155" s="21">
        <f>SUM(Tabela224[[#This Row],[PENÚLTIMO SALÁRIO]]+Tabela224[[#This Row],[ÚLTIMO SALÁRIO]]+Tabela224[[#This Row],[SALÁRIO ATUAL]])</f>
        <v>0</v>
      </c>
      <c r="V155" s="16"/>
      <c r="W155" s="16"/>
      <c r="X155" s="16"/>
      <c r="Y155" s="21">
        <f>SUM(Tabela224[[#This Row],[SALÁRIO ATUAL]]+Tabela224[[#This Row],[AUMENTO ESPONTÂNEO]]+Tabela224[[#This Row],[COMPLEMENTO SALARIAL]])</f>
        <v>0</v>
      </c>
      <c r="Z155" s="16"/>
      <c r="AA155" s="16"/>
      <c r="AB155" s="16"/>
      <c r="AC155" s="16"/>
    </row>
    <row r="156" spans="1:29">
      <c r="A156" s="119"/>
      <c r="B156" s="119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9"/>
      <c r="S156" s="19"/>
      <c r="T156" s="16"/>
      <c r="U156" s="21">
        <f>SUM(Tabela224[[#This Row],[PENÚLTIMO SALÁRIO]]+Tabela224[[#This Row],[ÚLTIMO SALÁRIO]]+Tabela224[[#This Row],[SALÁRIO ATUAL]])</f>
        <v>0</v>
      </c>
      <c r="V156" s="16"/>
      <c r="W156" s="16"/>
      <c r="X156" s="16"/>
      <c r="Y156" s="21">
        <f>SUM(Tabela224[[#This Row],[SALÁRIO ATUAL]]+Tabela224[[#This Row],[AUMENTO ESPONTÂNEO]]+Tabela224[[#This Row],[COMPLEMENTO SALARIAL]])</f>
        <v>0</v>
      </c>
      <c r="Z156" s="16"/>
      <c r="AA156" s="16"/>
      <c r="AB156" s="16"/>
      <c r="AC156" s="16"/>
    </row>
    <row r="157" spans="1:29">
      <c r="A157" s="120"/>
      <c r="B157" s="120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9"/>
      <c r="T157" s="16"/>
      <c r="U157" s="21">
        <f>SUM(Tabela224[[#This Row],[PENÚLTIMO SALÁRIO]]+Tabela224[[#This Row],[ÚLTIMO SALÁRIO]]+Tabela224[[#This Row],[SALÁRIO ATUAL]])</f>
        <v>0</v>
      </c>
      <c r="V157" s="16"/>
      <c r="W157" s="16"/>
      <c r="X157" s="16"/>
      <c r="Y157" s="21">
        <f>SUM(Tabela224[[#This Row],[SALÁRIO ATUAL]]+Tabela224[[#This Row],[AUMENTO ESPONTÂNEO]]+Tabela224[[#This Row],[COMPLEMENTO SALARIAL]])</f>
        <v>0</v>
      </c>
      <c r="Z157" s="16"/>
      <c r="AA157" s="16"/>
      <c r="AB157" s="16"/>
      <c r="AC157" s="16"/>
    </row>
    <row r="158" spans="1:29">
      <c r="A158" s="119"/>
      <c r="B158" s="119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9"/>
      <c r="T158" s="16"/>
      <c r="U158" s="21">
        <f>SUM(Tabela224[[#This Row],[PENÚLTIMO SALÁRIO]]+Tabela224[[#This Row],[ÚLTIMO SALÁRIO]]+Tabela224[[#This Row],[SALÁRIO ATUAL]])</f>
        <v>0</v>
      </c>
      <c r="V158" s="16"/>
      <c r="W158" s="16"/>
      <c r="X158" s="16"/>
      <c r="Y158" s="21">
        <f>SUM(Tabela224[[#This Row],[SALÁRIO ATUAL]]+Tabela224[[#This Row],[AUMENTO ESPONTÂNEO]]+Tabela224[[#This Row],[COMPLEMENTO SALARIAL]])</f>
        <v>0</v>
      </c>
      <c r="Z158" s="16"/>
      <c r="AA158" s="16"/>
      <c r="AB158" s="16"/>
      <c r="AC158" s="16"/>
    </row>
    <row r="159" spans="1:29">
      <c r="A159" s="120"/>
      <c r="B159" s="120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9"/>
      <c r="T159" s="16"/>
      <c r="U159" s="21">
        <f>SUM(Tabela224[[#This Row],[PENÚLTIMO SALÁRIO]]+Tabela224[[#This Row],[ÚLTIMO SALÁRIO]]+Tabela224[[#This Row],[SALÁRIO ATUAL]])</f>
        <v>0</v>
      </c>
      <c r="V159" s="16"/>
      <c r="W159" s="16"/>
      <c r="X159" s="16"/>
      <c r="Y159" s="21">
        <f>SUM(Tabela224[[#This Row],[SALÁRIO ATUAL]]+Tabela224[[#This Row],[AUMENTO ESPONTÂNEO]]+Tabela224[[#This Row],[COMPLEMENTO SALARIAL]])</f>
        <v>0</v>
      </c>
      <c r="Z159" s="16"/>
      <c r="AA159" s="16"/>
      <c r="AB159" s="16"/>
      <c r="AC159" s="16"/>
    </row>
    <row r="160" spans="1:29">
      <c r="A160" s="119"/>
      <c r="B160" s="119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9"/>
      <c r="T160" s="16"/>
      <c r="U160" s="21">
        <f>SUM(Tabela224[[#This Row],[PENÚLTIMO SALÁRIO]]+Tabela224[[#This Row],[ÚLTIMO SALÁRIO]]+Tabela224[[#This Row],[SALÁRIO ATUAL]])</f>
        <v>0</v>
      </c>
      <c r="V160" s="16"/>
      <c r="W160" s="16"/>
      <c r="X160" s="16"/>
      <c r="Y160" s="21">
        <f>SUM(Tabela224[[#This Row],[SALÁRIO ATUAL]]+Tabela224[[#This Row],[AUMENTO ESPONTÂNEO]]+Tabela224[[#This Row],[COMPLEMENTO SALARIAL]])</f>
        <v>0</v>
      </c>
      <c r="Z160" s="16"/>
      <c r="AA160" s="16"/>
      <c r="AB160" s="16"/>
      <c r="AC160" s="16"/>
    </row>
    <row r="161" spans="1:29">
      <c r="A161" s="120"/>
      <c r="B161" s="120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9"/>
      <c r="T161" s="16"/>
      <c r="U161" s="21">
        <f>SUM(Tabela224[[#This Row],[PENÚLTIMO SALÁRIO]]+Tabela224[[#This Row],[ÚLTIMO SALÁRIO]]+Tabela224[[#This Row],[SALÁRIO ATUAL]])</f>
        <v>0</v>
      </c>
      <c r="V161" s="16"/>
      <c r="W161" s="16"/>
      <c r="X161" s="16"/>
      <c r="Y161" s="21">
        <f>SUM(Tabela224[[#This Row],[SALÁRIO ATUAL]]+Tabela224[[#This Row],[AUMENTO ESPONTÂNEO]]+Tabela224[[#This Row],[COMPLEMENTO SALARIAL]])</f>
        <v>0</v>
      </c>
      <c r="Z161" s="16"/>
      <c r="AA161" s="16"/>
      <c r="AB161" s="16"/>
      <c r="AC161" s="16"/>
    </row>
    <row r="162" spans="1:29">
      <c r="A162" s="119"/>
      <c r="B162" s="119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9"/>
      <c r="T162" s="16"/>
      <c r="U162" s="21">
        <f>SUM(Tabela224[[#This Row],[PENÚLTIMO SALÁRIO]]+Tabela224[[#This Row],[ÚLTIMO SALÁRIO]]+Tabela224[[#This Row],[SALÁRIO ATUAL]])</f>
        <v>0</v>
      </c>
      <c r="V162" s="16"/>
      <c r="W162" s="16"/>
      <c r="X162" s="16"/>
      <c r="Y162" s="21">
        <f>SUM(Tabela224[[#This Row],[SALÁRIO ATUAL]]+Tabela224[[#This Row],[AUMENTO ESPONTÂNEO]]+Tabela224[[#This Row],[COMPLEMENTO SALARIAL]])</f>
        <v>0</v>
      </c>
      <c r="Z162" s="16"/>
      <c r="AA162" s="16"/>
      <c r="AB162" s="16"/>
      <c r="AC162" s="16"/>
    </row>
    <row r="163" spans="1:29">
      <c r="A163" s="120"/>
      <c r="B163" s="120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21">
        <f>SUM(Tabela224[[#This Row],[PENÚLTIMO SALÁRIO]]+Tabela224[[#This Row],[ÚLTIMO SALÁRIO]]+Tabela224[[#This Row],[SALÁRIO ATUAL]])</f>
        <v>0</v>
      </c>
      <c r="V163" s="16"/>
      <c r="W163" s="16"/>
      <c r="X163" s="16"/>
      <c r="Y163" s="21">
        <f>SUM(Tabela224[[#This Row],[SALÁRIO ATUAL]]+Tabela224[[#This Row],[AUMENTO ESPONTÂNEO]]+Tabela224[[#This Row],[COMPLEMENTO SALARIAL]])</f>
        <v>0</v>
      </c>
      <c r="Z163" s="16"/>
      <c r="AA163" s="16"/>
      <c r="AB163" s="16"/>
      <c r="AC163" s="16"/>
    </row>
    <row r="164" spans="1:29">
      <c r="A164" s="119"/>
      <c r="B164" s="119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21">
        <f>SUM(Tabela224[[#This Row],[PENÚLTIMO SALÁRIO]]+Tabela224[[#This Row],[ÚLTIMO SALÁRIO]]+Tabela224[[#This Row],[SALÁRIO ATUAL]])</f>
        <v>0</v>
      </c>
      <c r="V164" s="16"/>
      <c r="W164" s="16"/>
      <c r="X164" s="16"/>
      <c r="Y164" s="21">
        <f>SUM(Tabela224[[#This Row],[SALÁRIO ATUAL]]+Tabela224[[#This Row],[AUMENTO ESPONTÂNEO]]+Tabela224[[#This Row],[COMPLEMENTO SALARIAL]])</f>
        <v>0</v>
      </c>
      <c r="Z164" s="16"/>
      <c r="AA164" s="16"/>
      <c r="AB164" s="16"/>
      <c r="AC164" s="16"/>
    </row>
    <row r="165" spans="1:29">
      <c r="A165" s="120"/>
      <c r="B165" s="120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21">
        <f>SUM(Tabela224[[#This Row],[PENÚLTIMO SALÁRIO]]+Tabela224[[#This Row],[ÚLTIMO SALÁRIO]]+Tabela224[[#This Row],[SALÁRIO ATUAL]])</f>
        <v>0</v>
      </c>
      <c r="V165" s="16"/>
      <c r="W165" s="16"/>
      <c r="X165" s="16"/>
      <c r="Y165" s="21">
        <f>SUM(Tabela224[[#This Row],[SALÁRIO ATUAL]]+Tabela224[[#This Row],[AUMENTO ESPONTÂNEO]]+Tabela224[[#This Row],[COMPLEMENTO SALARIAL]])</f>
        <v>0</v>
      </c>
      <c r="Z165" s="16"/>
      <c r="AA165" s="16"/>
      <c r="AB165" s="16"/>
      <c r="AC165" s="16"/>
    </row>
    <row r="166" spans="1:29">
      <c r="A166" s="119"/>
      <c r="B166" s="119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21">
        <f>SUM(Tabela224[[#This Row],[PENÚLTIMO SALÁRIO]]+Tabela224[[#This Row],[ÚLTIMO SALÁRIO]]+Tabela224[[#This Row],[SALÁRIO ATUAL]])</f>
        <v>0</v>
      </c>
      <c r="V166" s="16"/>
      <c r="W166" s="16"/>
      <c r="X166" s="16"/>
      <c r="Y166" s="21">
        <f>SUM(Tabela224[[#This Row],[SALÁRIO ATUAL]]+Tabela224[[#This Row],[AUMENTO ESPONTÂNEO]]+Tabela224[[#This Row],[COMPLEMENTO SALARIAL]])</f>
        <v>0</v>
      </c>
      <c r="Z166" s="16"/>
      <c r="AA166" s="16"/>
      <c r="AB166" s="16"/>
      <c r="AC166" s="16"/>
    </row>
    <row r="167" spans="1:29">
      <c r="A167" s="120"/>
      <c r="B167" s="120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21">
        <f>SUM(Tabela224[[#This Row],[PENÚLTIMO SALÁRIO]]+Tabela224[[#This Row],[ÚLTIMO SALÁRIO]]+Tabela224[[#This Row],[SALÁRIO ATUAL]])</f>
        <v>0</v>
      </c>
      <c r="V167" s="16"/>
      <c r="W167" s="16"/>
      <c r="X167" s="16"/>
      <c r="Y167" s="21">
        <f>SUM(Tabela224[[#This Row],[SALÁRIO ATUAL]]+Tabela224[[#This Row],[AUMENTO ESPONTÂNEO]]+Tabela224[[#This Row],[COMPLEMENTO SALARIAL]])</f>
        <v>0</v>
      </c>
      <c r="Z167" s="16"/>
      <c r="AA167" s="16"/>
      <c r="AB167" s="16"/>
      <c r="AC167" s="16"/>
    </row>
    <row r="168" spans="1:29">
      <c r="A168" s="119"/>
      <c r="B168" s="119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21">
        <f>SUM(Tabela224[[#This Row],[PENÚLTIMO SALÁRIO]]+Tabela224[[#This Row],[ÚLTIMO SALÁRIO]]+Tabela224[[#This Row],[SALÁRIO ATUAL]])</f>
        <v>0</v>
      </c>
      <c r="V168" s="16"/>
      <c r="W168" s="16"/>
      <c r="X168" s="16"/>
      <c r="Y168" s="21">
        <f>SUM(Tabela224[[#This Row],[SALÁRIO ATUAL]]+Tabela224[[#This Row],[AUMENTO ESPONTÂNEO]]+Tabela224[[#This Row],[COMPLEMENTO SALARIAL]])</f>
        <v>0</v>
      </c>
      <c r="Z168" s="16"/>
      <c r="AA168" s="16"/>
      <c r="AB168" s="16"/>
      <c r="AC168" s="16"/>
    </row>
  </sheetData>
  <sheetProtection algorithmName="SHA-512" hashValue="BfdIwet/VTLMFAeMpvvlLq7fwi4xRvRC67b5dtNeS/t5PTIAqc3rKarIL4m4pDHo+e58BVayXV0+0elLkob29A==" saltValue="xugvOv+bQ0Hp56LnahCNvQ==" spinCount="100000" sheet="1" objects="1" scenarios="1" sort="0" autoFilter="0"/>
  <mergeCells count="1">
    <mergeCell ref="A1:AC4"/>
  </mergeCells>
  <dataValidations count="3">
    <dataValidation type="list" allowBlank="1" showInputMessage="1" showErrorMessage="1" sqref="D6:D168" xr:uid="{72A60BD8-6B26-4901-A84A-C4F83F05E76E}">
      <formula1>"AGIL,AGT,AGL"</formula1>
    </dataValidation>
    <dataValidation type="list" allowBlank="1" showInputMessage="1" showErrorMessage="1" sqref="E6:E168" xr:uid="{AA211E8B-BCA3-4A5F-B7F4-F6B84107D8FD}">
      <formula1>"ATIVO,DESATIVADO"</formula1>
    </dataValidation>
    <dataValidation type="list" allowBlank="1" showInputMessage="1" showErrorMessage="1" sqref="J6:J168" xr:uid="{F9C08AEE-1369-41E3-A047-523C132AF6AE}">
      <formula1>"FEMININO,MASCULINO"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2EDB-2CFE-40B8-9B1E-7BD6D2E03140}">
  <dimension ref="A3:E8"/>
  <sheetViews>
    <sheetView workbookViewId="0">
      <selection activeCell="F13" sqref="F12:F13"/>
    </sheetView>
  </sheetViews>
  <sheetFormatPr defaultRowHeight="15"/>
  <cols>
    <col min="1" max="1" width="26.140625" bestFit="1" customWidth="1"/>
    <col min="2" max="2" width="12.140625" bestFit="1" customWidth="1"/>
    <col min="3" max="3" width="17.7109375" bestFit="1" customWidth="1"/>
    <col min="4" max="4" width="13.140625" bestFit="1" customWidth="1"/>
    <col min="5" max="5" width="19.7109375" bestFit="1" customWidth="1"/>
  </cols>
  <sheetData>
    <row r="3" spans="1:5">
      <c r="A3" s="209" t="s">
        <v>839</v>
      </c>
      <c r="B3" s="209" t="s">
        <v>840</v>
      </c>
      <c r="C3" s="209" t="s">
        <v>841</v>
      </c>
      <c r="D3" s="209" t="s">
        <v>842</v>
      </c>
      <c r="E3" s="209" t="s">
        <v>843</v>
      </c>
    </row>
    <row r="4" spans="1:5">
      <c r="A4" s="12" t="s">
        <v>461</v>
      </c>
      <c r="B4" s="14">
        <v>46097</v>
      </c>
      <c r="C4" s="14">
        <v>31329</v>
      </c>
      <c r="D4" s="120" t="s">
        <v>91</v>
      </c>
      <c r="E4" s="120" t="s">
        <v>468</v>
      </c>
    </row>
    <row r="5" spans="1:5">
      <c r="A5" s="12" t="s">
        <v>469</v>
      </c>
      <c r="B5" s="14">
        <v>46097</v>
      </c>
      <c r="C5" s="14">
        <v>26374</v>
      </c>
      <c r="D5" s="119" t="s">
        <v>91</v>
      </c>
      <c r="E5" s="119"/>
    </row>
    <row r="6" spans="1:5">
      <c r="A6" s="12" t="s">
        <v>476</v>
      </c>
      <c r="B6" s="14">
        <v>46097</v>
      </c>
      <c r="C6" s="14">
        <v>24709</v>
      </c>
      <c r="D6" s="120" t="s">
        <v>484</v>
      </c>
      <c r="E6" s="120" t="s">
        <v>485</v>
      </c>
    </row>
    <row r="7" spans="1:5">
      <c r="A7" s="12" t="s">
        <v>486</v>
      </c>
      <c r="B7" s="14">
        <v>46076</v>
      </c>
      <c r="C7" s="14">
        <v>31162</v>
      </c>
      <c r="D7" s="119" t="s">
        <v>91</v>
      </c>
      <c r="E7" s="119" t="s">
        <v>487</v>
      </c>
    </row>
    <row r="8" spans="1:5">
      <c r="A8" s="12" t="s">
        <v>488</v>
      </c>
      <c r="B8" s="14">
        <v>46097</v>
      </c>
      <c r="C8" s="14">
        <v>29958</v>
      </c>
      <c r="D8" s="120" t="s">
        <v>47</v>
      </c>
      <c r="E8" s="120" t="s">
        <v>496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AD11-8329-485C-81C5-EC4E1B70BC44}">
  <dimension ref="A2:E19"/>
  <sheetViews>
    <sheetView workbookViewId="0">
      <selection activeCell="G8" sqref="G8"/>
    </sheetView>
  </sheetViews>
  <sheetFormatPr defaultRowHeight="15"/>
  <cols>
    <col min="1" max="1" width="40.7109375" customWidth="1"/>
    <col min="2" max="2" width="20.140625" customWidth="1"/>
    <col min="3" max="3" width="24.42578125" customWidth="1"/>
    <col min="4" max="4" width="17.85546875" customWidth="1"/>
    <col min="5" max="5" width="42.42578125" customWidth="1"/>
    <col min="6" max="6" width="12.140625" bestFit="1" customWidth="1"/>
    <col min="7" max="7" width="10.5703125" bestFit="1" customWidth="1"/>
    <col min="8" max="8" width="10.7109375" bestFit="1" customWidth="1"/>
    <col min="9" max="9" width="10.5703125" bestFit="1" customWidth="1"/>
    <col min="10" max="10" width="10.7109375" bestFit="1" customWidth="1"/>
    <col min="12" max="12" width="10.5703125" bestFit="1" customWidth="1"/>
    <col min="13" max="13" width="12.140625" bestFit="1" customWidth="1"/>
    <col min="15" max="17" width="12.140625" bestFit="1" customWidth="1"/>
    <col min="18" max="18" width="10.5703125" bestFit="1" customWidth="1"/>
  </cols>
  <sheetData>
    <row r="2" spans="1:5">
      <c r="A2" s="210" t="s">
        <v>2</v>
      </c>
      <c r="B2" s="210" t="s">
        <v>844</v>
      </c>
      <c r="C2" s="210" t="s">
        <v>845</v>
      </c>
      <c r="D2" s="210" t="s">
        <v>31</v>
      </c>
      <c r="E2" s="210" t="s">
        <v>846</v>
      </c>
    </row>
    <row r="3" spans="1:5">
      <c r="A3" s="16" t="s">
        <v>82</v>
      </c>
      <c r="B3" s="16" t="s">
        <v>35</v>
      </c>
      <c r="C3" s="21">
        <v>7500</v>
      </c>
      <c r="D3" s="16" t="s">
        <v>90</v>
      </c>
      <c r="E3" s="16" t="s">
        <v>91</v>
      </c>
    </row>
    <row r="4" spans="1:5">
      <c r="A4" s="16" t="s">
        <v>92</v>
      </c>
      <c r="B4" s="16" t="s">
        <v>35</v>
      </c>
      <c r="C4" s="21">
        <v>6500</v>
      </c>
      <c r="D4" s="16" t="s">
        <v>90</v>
      </c>
      <c r="E4" s="16" t="s">
        <v>91</v>
      </c>
    </row>
    <row r="5" spans="1:5">
      <c r="A5" s="16" t="s">
        <v>108</v>
      </c>
      <c r="B5" s="16" t="s">
        <v>109</v>
      </c>
      <c r="C5" s="21">
        <v>12125</v>
      </c>
      <c r="D5" s="16" t="s">
        <v>90</v>
      </c>
      <c r="E5" s="16" t="s">
        <v>91</v>
      </c>
    </row>
    <row r="6" spans="1:5">
      <c r="A6" s="16" t="s">
        <v>119</v>
      </c>
      <c r="B6" s="16" t="s">
        <v>109</v>
      </c>
      <c r="C6" s="21">
        <f>SUM(Tabela2[[#This Row],[VALOR DO SERVIÇO CONTRATADO]]+Tabela2[[#This Row],[VALOR]]+Tabela2[[#This Row],[VALOR2]]+Tabela2[[#This Row],[AJUDA DE CUSTO]])+Tabela2[[#This Row],[VALOR3]]</f>
        <v>5000</v>
      </c>
      <c r="D6" s="16" t="s">
        <v>90</v>
      </c>
      <c r="E6" s="16" t="s">
        <v>91</v>
      </c>
    </row>
    <row r="7" spans="1:5">
      <c r="A7" s="16" t="s">
        <v>155</v>
      </c>
      <c r="B7" s="16" t="s">
        <v>109</v>
      </c>
      <c r="C7" s="21">
        <f>SUM(Tabela2[[#This Row],[VALOR DO SERVIÇO CONTRATADO]]+Tabela2[[#This Row],[VALOR]]+Tabela2[[#This Row],[VALOR2]]+Tabela2[[#This Row],[AJUDA DE CUSTO]])+Tabela2[[#This Row],[VALOR3]]</f>
        <v>10000</v>
      </c>
      <c r="D7" s="16" t="s">
        <v>90</v>
      </c>
      <c r="E7" s="16" t="s">
        <v>91</v>
      </c>
    </row>
    <row r="8" spans="1:5">
      <c r="A8" s="16" t="s">
        <v>186</v>
      </c>
      <c r="B8" s="16" t="s">
        <v>179</v>
      </c>
      <c r="C8" s="21">
        <f>SUM(Tabela2[[#This Row],[VALOR DO SERVIÇO CONTRATADO]]+Tabela2[[#This Row],[VALOR]]+Tabela2[[#This Row],[VALOR2]]+Tabela2[[#This Row],[AJUDA DE CUSTO]])+Tabela2[[#This Row],[VALOR3]]</f>
        <v>3000</v>
      </c>
      <c r="D8" s="16" t="s">
        <v>90</v>
      </c>
      <c r="E8" s="16" t="s">
        <v>91</v>
      </c>
    </row>
    <row r="9" spans="1:5">
      <c r="A9" s="16" t="s">
        <v>192</v>
      </c>
      <c r="B9" s="16" t="s">
        <v>179</v>
      </c>
      <c r="C9" s="21">
        <f>SUM(Tabela2[[#This Row],[VALOR DO SERVIÇO CONTRATADO]]+Tabela2[[#This Row],[VALOR]]+Tabela2[[#This Row],[VALOR2]]+Tabela2[[#This Row],[AJUDA DE CUSTO]])+Tabela2[[#This Row],[VALOR3]]</f>
        <v>7000</v>
      </c>
      <c r="D9" s="16" t="s">
        <v>90</v>
      </c>
      <c r="E9" s="16" t="s">
        <v>91</v>
      </c>
    </row>
    <row r="10" spans="1:5">
      <c r="A10" s="16" t="s">
        <v>275</v>
      </c>
      <c r="B10" s="16" t="s">
        <v>109</v>
      </c>
      <c r="C10" s="21">
        <f>SUM(Tabela2[[#This Row],[VALOR DO SERVIÇO CONTRATADO]]+Tabela2[[#This Row],[VALOR]]+Tabela2[[#This Row],[VALOR2]]+Tabela2[[#This Row],[AJUDA DE CUSTO]])+Tabela2[[#This Row],[VALOR3]]</f>
        <v>12000</v>
      </c>
      <c r="D10" s="16" t="s">
        <v>91</v>
      </c>
      <c r="E10" s="16" t="s">
        <v>283</v>
      </c>
    </row>
    <row r="11" spans="1:5">
      <c r="A11" s="16" t="s">
        <v>422</v>
      </c>
      <c r="B11" s="16" t="s">
        <v>109</v>
      </c>
      <c r="C11" s="21">
        <f>SUM(Tabela2[[#This Row],[VALOR DO SERVIÇO CONTRATADO]]+Tabela2[[#This Row],[VALOR]]+Tabela2[[#This Row],[VALOR2]]+Tabela2[[#This Row],[AJUDA DE CUSTO]])+Tabela2[[#This Row],[VALOR3]]</f>
        <v>8500</v>
      </c>
      <c r="D11" s="16" t="s">
        <v>91</v>
      </c>
      <c r="E11" s="16" t="s">
        <v>429</v>
      </c>
    </row>
    <row r="12" spans="1:5">
      <c r="A12" s="16" t="s">
        <v>451</v>
      </c>
      <c r="B12" s="16" t="s">
        <v>35</v>
      </c>
      <c r="C12" s="21">
        <f>SUM(Tabela2[[#This Row],[VALOR DO SERVIÇO CONTRATADO]]+Tabela2[[#This Row],[VALOR]]+Tabela2[[#This Row],[VALOR2]]+Tabela2[[#This Row],[AJUDA DE CUSTO]])+Tabela2[[#This Row],[VALOR3]]</f>
        <v>6500</v>
      </c>
      <c r="D12" s="16" t="s">
        <v>91</v>
      </c>
      <c r="E12" s="16" t="s">
        <v>459</v>
      </c>
    </row>
    <row r="13" spans="1:5">
      <c r="A13" s="16" t="s">
        <v>461</v>
      </c>
      <c r="B13" s="16" t="s">
        <v>462</v>
      </c>
      <c r="C13" s="21">
        <f>SUM(Tabela2[[#This Row],[VALOR DO SERVIÇO CONTRATADO]]+Tabela2[[#This Row],[VALOR]]+Tabela2[[#This Row],[VALOR2]]+Tabela2[[#This Row],[AJUDA DE CUSTO]])+Tabela2[[#This Row],[VALOR3]]</f>
        <v>1300</v>
      </c>
      <c r="D13" s="16" t="s">
        <v>91</v>
      </c>
      <c r="E13" s="16" t="s">
        <v>468</v>
      </c>
    </row>
    <row r="14" spans="1:5">
      <c r="A14" s="16" t="s">
        <v>469</v>
      </c>
      <c r="B14" s="16" t="s">
        <v>462</v>
      </c>
      <c r="C14" s="21">
        <f>SUM(Tabela2[[#This Row],[VALOR DO SERVIÇO CONTRATADO]]+Tabela2[[#This Row],[VALOR]]+Tabela2[[#This Row],[VALOR2]]+Tabela2[[#This Row],[AJUDA DE CUSTO]])+Tabela2[[#This Row],[VALOR3]]</f>
        <v>12125</v>
      </c>
      <c r="D14" s="16" t="s">
        <v>91</v>
      </c>
      <c r="E14" s="16"/>
    </row>
    <row r="15" spans="1:5">
      <c r="A15" s="16" t="s">
        <v>486</v>
      </c>
      <c r="B15" s="16" t="s">
        <v>462</v>
      </c>
      <c r="C15" s="21">
        <f>SUM(Tabela2[[#This Row],[VALOR DO SERVIÇO CONTRATADO]]+Tabela2[[#This Row],[VALOR]]+Tabela2[[#This Row],[VALOR2]]+Tabela2[[#This Row],[AJUDA DE CUSTO]])+Tabela2[[#This Row],[VALOR3]]</f>
        <v>3000</v>
      </c>
      <c r="D15" s="16" t="s">
        <v>91</v>
      </c>
      <c r="E15" s="16" t="s">
        <v>487</v>
      </c>
    </row>
    <row r="16" spans="1:5">
      <c r="A16" s="16" t="s">
        <v>593</v>
      </c>
      <c r="B16" s="16" t="s">
        <v>109</v>
      </c>
      <c r="C16" s="21">
        <v>2100</v>
      </c>
      <c r="D16" s="16" t="s">
        <v>601</v>
      </c>
      <c r="E16" s="16" t="s">
        <v>602</v>
      </c>
    </row>
    <row r="17" spans="1:5">
      <c r="A17" s="16" t="s">
        <v>632</v>
      </c>
      <c r="B17" s="16" t="s">
        <v>35</v>
      </c>
      <c r="C17" s="21">
        <v>4438.01</v>
      </c>
      <c r="D17" s="16" t="s">
        <v>601</v>
      </c>
      <c r="E17" s="16" t="s">
        <v>638</v>
      </c>
    </row>
    <row r="18" spans="1:5">
      <c r="A18" s="16" t="s">
        <v>750</v>
      </c>
      <c r="B18" s="16" t="s">
        <v>109</v>
      </c>
      <c r="C18" s="21">
        <v>3997.6</v>
      </c>
      <c r="D18" s="16" t="s">
        <v>601</v>
      </c>
      <c r="E18" s="16" t="s">
        <v>756</v>
      </c>
    </row>
    <row r="19" spans="1:5" ht="30">
      <c r="A19" s="16" t="s">
        <v>757</v>
      </c>
      <c r="B19" s="16" t="s">
        <v>109</v>
      </c>
      <c r="C19" s="21">
        <v>2840.4</v>
      </c>
      <c r="D19" s="27" t="s">
        <v>601</v>
      </c>
      <c r="E19" s="26" t="s">
        <v>764</v>
      </c>
    </row>
  </sheetData>
  <dataValidations count="1">
    <dataValidation type="list" allowBlank="1" showInputMessage="1" showErrorMessage="1" sqref="B16:B19" xr:uid="{FC2DF324-DB6D-43F3-B0FF-7B70D0A05A67}">
      <formula1>"AGIL,AGT,AGL"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Hubler - Agil Telecom</dc:creator>
  <cp:keywords/>
  <dc:description/>
  <cp:lastModifiedBy>Sumaia Silva - Agil Telecom</cp:lastModifiedBy>
  <cp:revision/>
  <dcterms:created xsi:type="dcterms:W3CDTF">2025-06-04T12:58:23Z</dcterms:created>
  <dcterms:modified xsi:type="dcterms:W3CDTF">2026-06-29T21:42:47Z</dcterms:modified>
  <cp:category/>
  <cp:contentStatus/>
</cp:coreProperties>
</file>